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ms-office.chartex+xml" PartName="/xl/charts/chartEx1.xml"/>
  <Override ContentType="application/vnd.ms-office.chartex+xml" PartName="/xl/charts/chartEx2.xml"/>
  <Override ContentType="application/vnd.ms-office.chartcolorstyle+xml" PartName="/xl/charts/colors2.xml"/>
  <Override ContentType="application/vnd.ms-office.chartcolorstyle+xml" PartName="/xl/charts/colors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office.chartstyle+xml" PartName="/xl/charts/style2.xml"/>
  <Override ContentType="application/vnd.ms-office.chartstyle+xml" PartName="/xl/charts/style1.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s" sheetId="1" r:id="rId5"/>
    <sheet state="visible" name="Pivot Table 10" sheetId="2" r:id="rId6"/>
    <sheet state="visible" name="Pivot Table 9" sheetId="3" r:id="rId7"/>
    <sheet state="visible" name="dash board" sheetId="4" r:id="rId8"/>
    <sheet state="visible" name="Pivot Table 7" sheetId="5" r:id="rId9"/>
    <sheet state="visible" name="Pivot Table 8" sheetId="6" r:id="rId10"/>
    <sheet state="visible" name="Pivot Table 6" sheetId="7" r:id="rId11"/>
    <sheet state="visible" name="Sheet2" sheetId="8" r:id="rId12"/>
  </sheets>
  <definedNames>
    <definedName hidden="1" localSheetId="0" name="Z_5F2890D0_2E92_4EB2_8673_66332E15558A_.wvu.FilterData">orders!$A$1:$Q$1000</definedName>
    <definedName name="SlicerCache_Table_1_Col_5">#N/A</definedName>
    <definedName name="SlicerCache_Table_1_Col_9">#N/A</definedName>
    <definedName name="SlicerCache_Table_1_Col_16">#N/A</definedName>
    <definedName name="SlicerCache_Table_1_Col_17">#N/A</definedName>
  </definedNames>
  <calcPr/>
  <customWorkbookViews>
    <customWorkbookView activeSheetId="0" maximized="1" windowHeight="0" windowWidth="0" guid="{5F2890D0-2E92-4EB2-8673-66332E15558A}" name="Filter 1"/>
  </customWorkbookViews>
  <pivotCaches>
    <pivotCache cacheId="0" r:id="rId13"/>
  </pivotCaches>
  <extLst>
    <ext uri="{46BE6895-7355-4a93-B00E-2C351335B9C9}">
      <x15:slicerCaches>
        <x14:slicerCache r:id="rId14"/>
        <x14:slicerCache r:id="rId15"/>
        <x14:slicerCache r:id="rId16"/>
        <x14:slicerCache r:id="rId17"/>
      </x15:slicerCaches>
    </ext>
  </extLst>
</workbook>
</file>

<file path=xl/sharedStrings.xml><?xml version="1.0" encoding="utf-8"?>
<sst xmlns="http://schemas.openxmlformats.org/spreadsheetml/2006/main" count="3062" uniqueCount="3053">
  <si>
    <t>order id</t>
  </si>
  <si>
    <t>order date</t>
  </si>
  <si>
    <t>customer  id</t>
  </si>
  <si>
    <t>customer name</t>
  </si>
  <si>
    <t>state</t>
  </si>
  <si>
    <t>city</t>
  </si>
  <si>
    <t>product id</t>
  </si>
  <si>
    <t>product name</t>
  </si>
  <si>
    <t>category</t>
  </si>
  <si>
    <t>quantity</t>
  </si>
  <si>
    <t>unit price</t>
  </si>
  <si>
    <t>discount</t>
  </si>
  <si>
    <t>sales</t>
  </si>
  <si>
    <t>cost</t>
  </si>
  <si>
    <t>profit</t>
  </si>
  <si>
    <t>payment mode</t>
  </si>
  <si>
    <t>order status</t>
  </si>
  <si>
    <t>ORD 1001</t>
  </si>
  <si>
    <t>C001</t>
  </si>
  <si>
    <t>P001</t>
  </si>
  <si>
    <t>ORD 1002</t>
  </si>
  <si>
    <t>C002</t>
  </si>
  <si>
    <t>P002</t>
  </si>
  <si>
    <t>ORD 1003</t>
  </si>
  <si>
    <t>C003</t>
  </si>
  <si>
    <t>P003</t>
  </si>
  <si>
    <t>ORD 1004</t>
  </si>
  <si>
    <t>C004</t>
  </si>
  <si>
    <t>P004</t>
  </si>
  <si>
    <t>ORD 1005</t>
  </si>
  <si>
    <t>C005</t>
  </si>
  <si>
    <t>P005</t>
  </si>
  <si>
    <t>ORD 1006</t>
  </si>
  <si>
    <t>C006</t>
  </si>
  <si>
    <t>P006</t>
  </si>
  <si>
    <t>ORD 1007</t>
  </si>
  <si>
    <t>C007</t>
  </si>
  <si>
    <t>P007</t>
  </si>
  <si>
    <t>ORD 1008</t>
  </si>
  <si>
    <t>C008</t>
  </si>
  <si>
    <t>P008</t>
  </si>
  <si>
    <t>ORD 1009</t>
  </si>
  <si>
    <t>C009</t>
  </si>
  <si>
    <t>P009</t>
  </si>
  <si>
    <t>ORD 1010</t>
  </si>
  <si>
    <t>C010</t>
  </si>
  <si>
    <t>P010</t>
  </si>
  <si>
    <t>ORD 1011</t>
  </si>
  <si>
    <t>C011</t>
  </si>
  <si>
    <t>P011</t>
  </si>
  <si>
    <t>ORD 1012</t>
  </si>
  <si>
    <t>C012</t>
  </si>
  <si>
    <t>P012</t>
  </si>
  <si>
    <t>ORD 1013</t>
  </si>
  <si>
    <t>C013</t>
  </si>
  <si>
    <t>P013</t>
  </si>
  <si>
    <t>ORD 1014</t>
  </si>
  <si>
    <t>C014</t>
  </si>
  <si>
    <t>P014</t>
  </si>
  <si>
    <t>ORD 1015</t>
  </si>
  <si>
    <t>C015</t>
  </si>
  <si>
    <t>P015</t>
  </si>
  <si>
    <t>ORD 1016</t>
  </si>
  <si>
    <t>C016</t>
  </si>
  <si>
    <t>P016</t>
  </si>
  <si>
    <t>ORD 1017</t>
  </si>
  <si>
    <t>C017</t>
  </si>
  <si>
    <t>P017</t>
  </si>
  <si>
    <t>ORD 1018</t>
  </si>
  <si>
    <t>C018</t>
  </si>
  <si>
    <t>P018</t>
  </si>
  <si>
    <t>ORD 1019</t>
  </si>
  <si>
    <t>C019</t>
  </si>
  <si>
    <t>P019</t>
  </si>
  <si>
    <t>ORD 1020</t>
  </si>
  <si>
    <t>C020</t>
  </si>
  <si>
    <t>P020</t>
  </si>
  <si>
    <t>ORD 1021</t>
  </si>
  <si>
    <t>C021</t>
  </si>
  <si>
    <t>P021</t>
  </si>
  <si>
    <t>ORD 1022</t>
  </si>
  <si>
    <t>C022</t>
  </si>
  <si>
    <t>P022</t>
  </si>
  <si>
    <t>ORD 1023</t>
  </si>
  <si>
    <t>C023</t>
  </si>
  <si>
    <t>P023</t>
  </si>
  <si>
    <t>ORD 1024</t>
  </si>
  <si>
    <t>C024</t>
  </si>
  <si>
    <t>P024</t>
  </si>
  <si>
    <t>ORD 1025</t>
  </si>
  <si>
    <t>C025</t>
  </si>
  <si>
    <t>P025</t>
  </si>
  <si>
    <t>ORD 1026</t>
  </si>
  <si>
    <t>C026</t>
  </si>
  <si>
    <t>P026</t>
  </si>
  <si>
    <t>ORD 1027</t>
  </si>
  <si>
    <t>C027</t>
  </si>
  <si>
    <t>P027</t>
  </si>
  <si>
    <t>ORD 1028</t>
  </si>
  <si>
    <t>C028</t>
  </si>
  <si>
    <t>P028</t>
  </si>
  <si>
    <t>ORD 1029</t>
  </si>
  <si>
    <t>C029</t>
  </si>
  <si>
    <t>P029</t>
  </si>
  <si>
    <t>ORD 1030</t>
  </si>
  <si>
    <t>C030</t>
  </si>
  <si>
    <t>P030</t>
  </si>
  <si>
    <t>ORD 1031</t>
  </si>
  <si>
    <t>C031</t>
  </si>
  <si>
    <t>P031</t>
  </si>
  <si>
    <t>ORD 1032</t>
  </si>
  <si>
    <t>C032</t>
  </si>
  <si>
    <t>P032</t>
  </si>
  <si>
    <t>ORD 1033</t>
  </si>
  <si>
    <t>C033</t>
  </si>
  <si>
    <t>P033</t>
  </si>
  <si>
    <t>ORD 1034</t>
  </si>
  <si>
    <t>C034</t>
  </si>
  <si>
    <t>P034</t>
  </si>
  <si>
    <t>ORD 1035</t>
  </si>
  <si>
    <t>C035</t>
  </si>
  <si>
    <t>P035</t>
  </si>
  <si>
    <t>ORD 1036</t>
  </si>
  <si>
    <t>C036</t>
  </si>
  <si>
    <t>P036</t>
  </si>
  <si>
    <t>ORD 1037</t>
  </si>
  <si>
    <t>C037</t>
  </si>
  <si>
    <t>P037</t>
  </si>
  <si>
    <t>ORD 1038</t>
  </si>
  <si>
    <t>C038</t>
  </si>
  <si>
    <t>P038</t>
  </si>
  <si>
    <t>ORD 1039</t>
  </si>
  <si>
    <t>C039</t>
  </si>
  <si>
    <t>P039</t>
  </si>
  <si>
    <t>ORD 1040</t>
  </si>
  <si>
    <t>C040</t>
  </si>
  <si>
    <t>P040</t>
  </si>
  <si>
    <t>ORD 1041</t>
  </si>
  <si>
    <t>C041</t>
  </si>
  <si>
    <t>P041</t>
  </si>
  <si>
    <t>ORD 1042</t>
  </si>
  <si>
    <t>C042</t>
  </si>
  <si>
    <t>P042</t>
  </si>
  <si>
    <t>ORD 1043</t>
  </si>
  <si>
    <t>C043</t>
  </si>
  <si>
    <t>P043</t>
  </si>
  <si>
    <t>ORD 1044</t>
  </si>
  <si>
    <t>C044</t>
  </si>
  <si>
    <t>P044</t>
  </si>
  <si>
    <t>ORD 1045</t>
  </si>
  <si>
    <t>C045</t>
  </si>
  <si>
    <t>P045</t>
  </si>
  <si>
    <t>ORD 1046</t>
  </si>
  <si>
    <t>C046</t>
  </si>
  <si>
    <t>P046</t>
  </si>
  <si>
    <t>ORD 1047</t>
  </si>
  <si>
    <t>C047</t>
  </si>
  <si>
    <t>P047</t>
  </si>
  <si>
    <t>ORD 1048</t>
  </si>
  <si>
    <t>C048</t>
  </si>
  <si>
    <t>P048</t>
  </si>
  <si>
    <t>Columns</t>
  </si>
  <si>
    <t>ORD 1049</t>
  </si>
  <si>
    <t>C049</t>
  </si>
  <si>
    <t>Rows</t>
  </si>
  <si>
    <t>Values</t>
  </si>
  <si>
    <t>P049</t>
  </si>
  <si>
    <t>ORD 1050</t>
  </si>
  <si>
    <t>C050</t>
  </si>
  <si>
    <t>P050</t>
  </si>
  <si>
    <t>ORD 1051</t>
  </si>
  <si>
    <t>C051</t>
  </si>
  <si>
    <t>P051</t>
  </si>
  <si>
    <t>ORD 1052</t>
  </si>
  <si>
    <t>C052</t>
  </si>
  <si>
    <t>P052</t>
  </si>
  <si>
    <t>ORD 1053</t>
  </si>
  <si>
    <t>C053</t>
  </si>
  <si>
    <t>P053</t>
  </si>
  <si>
    <t>ORD 1054</t>
  </si>
  <si>
    <t>C054</t>
  </si>
  <si>
    <t>P054</t>
  </si>
  <si>
    <t>ORD 1055</t>
  </si>
  <si>
    <t>C055</t>
  </si>
  <si>
    <t>P055</t>
  </si>
  <si>
    <t>ORD 1056</t>
  </si>
  <si>
    <t>C056</t>
  </si>
  <si>
    <t>P056</t>
  </si>
  <si>
    <t>ORD 1057</t>
  </si>
  <si>
    <t>C057</t>
  </si>
  <si>
    <t>P057</t>
  </si>
  <si>
    <t>ORD 1058</t>
  </si>
  <si>
    <t>C058</t>
  </si>
  <si>
    <t>P058</t>
  </si>
  <si>
    <t>ORD 1059</t>
  </si>
  <si>
    <t>C059</t>
  </si>
  <si>
    <t>P059</t>
  </si>
  <si>
    <t>ORD 1060</t>
  </si>
  <si>
    <t>C060</t>
  </si>
  <si>
    <t>P060</t>
  </si>
  <si>
    <t>ORD 1061</t>
  </si>
  <si>
    <t>C061</t>
  </si>
  <si>
    <t>P061</t>
  </si>
  <si>
    <t>ORD 1062</t>
  </si>
  <si>
    <t>C062</t>
  </si>
  <si>
    <t>P062</t>
  </si>
  <si>
    <t>ORD 1063</t>
  </si>
  <si>
    <t>C063</t>
  </si>
  <si>
    <t>P063</t>
  </si>
  <si>
    <t>ORD 1064</t>
  </si>
  <si>
    <t>C064</t>
  </si>
  <si>
    <t>P064</t>
  </si>
  <si>
    <t>ORD 1065</t>
  </si>
  <si>
    <t>C065</t>
  </si>
  <si>
    <t>P065</t>
  </si>
  <si>
    <t>ORD 1066</t>
  </si>
  <si>
    <t>C066</t>
  </si>
  <si>
    <t>P066</t>
  </si>
  <si>
    <t>ORD 1067</t>
  </si>
  <si>
    <t>C067</t>
  </si>
  <si>
    <t>P067</t>
  </si>
  <si>
    <t>ORD 1068</t>
  </si>
  <si>
    <t>C068</t>
  </si>
  <si>
    <t>P068</t>
  </si>
  <si>
    <t>ORD 1069</t>
  </si>
  <si>
    <t>C069</t>
  </si>
  <si>
    <t>P069</t>
  </si>
  <si>
    <t>ORD 1070</t>
  </si>
  <si>
    <t>C070</t>
  </si>
  <si>
    <t>P070</t>
  </si>
  <si>
    <t>ORD 1071</t>
  </si>
  <si>
    <t>C071</t>
  </si>
  <si>
    <t>P071</t>
  </si>
  <si>
    <t>ORD 1072</t>
  </si>
  <si>
    <t>C072</t>
  </si>
  <si>
    <t>P072</t>
  </si>
  <si>
    <t>ORD 1073</t>
  </si>
  <si>
    <t>C073</t>
  </si>
  <si>
    <t>P073</t>
  </si>
  <si>
    <t>ORD 1074</t>
  </si>
  <si>
    <t>C074</t>
  </si>
  <si>
    <t>P074</t>
  </si>
  <si>
    <t>ORD 1075</t>
  </si>
  <si>
    <t>C075</t>
  </si>
  <si>
    <t>P075</t>
  </si>
  <si>
    <t>ORD 1076</t>
  </si>
  <si>
    <t>C076</t>
  </si>
  <si>
    <t>P076</t>
  </si>
  <si>
    <t>ORD 1077</t>
  </si>
  <si>
    <t>C077</t>
  </si>
  <si>
    <t>P077</t>
  </si>
  <si>
    <t>ORD 1078</t>
  </si>
  <si>
    <t>C078</t>
  </si>
  <si>
    <t>P078</t>
  </si>
  <si>
    <t>ORD 1079</t>
  </si>
  <si>
    <t>C079</t>
  </si>
  <si>
    <t>P079</t>
  </si>
  <si>
    <t>ORD 1080</t>
  </si>
  <si>
    <t>C080</t>
  </si>
  <si>
    <t>P080</t>
  </si>
  <si>
    <t>ORD 1081</t>
  </si>
  <si>
    <t>C081</t>
  </si>
  <si>
    <t>P081</t>
  </si>
  <si>
    <t>ORD 1082</t>
  </si>
  <si>
    <t>C082</t>
  </si>
  <si>
    <t>P082</t>
  </si>
  <si>
    <t>ORD 1083</t>
  </si>
  <si>
    <t>C083</t>
  </si>
  <si>
    <t>P083</t>
  </si>
  <si>
    <t>ORD 1084</t>
  </si>
  <si>
    <t>C084</t>
  </si>
  <si>
    <t>P084</t>
  </si>
  <si>
    <t>ORD 1085</t>
  </si>
  <si>
    <t>C085</t>
  </si>
  <si>
    <t>P085</t>
  </si>
  <si>
    <t>ORD 1086</t>
  </si>
  <si>
    <t>C086</t>
  </si>
  <si>
    <t>P086</t>
  </si>
  <si>
    <t>ORD 1087</t>
  </si>
  <si>
    <t>C087</t>
  </si>
  <si>
    <t>P087</t>
  </si>
  <si>
    <t>ORD 1088</t>
  </si>
  <si>
    <t>C088</t>
  </si>
  <si>
    <t>P088</t>
  </si>
  <si>
    <t>ORD 1089</t>
  </si>
  <si>
    <t>C089</t>
  </si>
  <si>
    <t>P089</t>
  </si>
  <si>
    <t>ORD 1090</t>
  </si>
  <si>
    <t>C090</t>
  </si>
  <si>
    <t>P090</t>
  </si>
  <si>
    <t>ORD 1091</t>
  </si>
  <si>
    <t>C091</t>
  </si>
  <si>
    <t>P091</t>
  </si>
  <si>
    <t>ORD 1092</t>
  </si>
  <si>
    <t>C092</t>
  </si>
  <si>
    <t>P092</t>
  </si>
  <si>
    <t>ORD 1093</t>
  </si>
  <si>
    <t>C093</t>
  </si>
  <si>
    <t>P093</t>
  </si>
  <si>
    <t>ORD 1094</t>
  </si>
  <si>
    <t>C094</t>
  </si>
  <si>
    <t>P094</t>
  </si>
  <si>
    <t>ORD 1095</t>
  </si>
  <si>
    <t>C095</t>
  </si>
  <si>
    <t>P095</t>
  </si>
  <si>
    <t>ORD 1096</t>
  </si>
  <si>
    <t>C096</t>
  </si>
  <si>
    <t>P096</t>
  </si>
  <si>
    <t>ORD 1097</t>
  </si>
  <si>
    <t>C097</t>
  </si>
  <si>
    <t>P097</t>
  </si>
  <si>
    <t>ORD 1098</t>
  </si>
  <si>
    <t>C098</t>
  </si>
  <si>
    <t>P098</t>
  </si>
  <si>
    <t>ORD 1099</t>
  </si>
  <si>
    <t>C099</t>
  </si>
  <si>
    <t>P099</t>
  </si>
  <si>
    <t>ORD 1100</t>
  </si>
  <si>
    <t>C100</t>
  </si>
  <si>
    <t>P100</t>
  </si>
  <si>
    <t>ORD 1101</t>
  </si>
  <si>
    <t>C101</t>
  </si>
  <si>
    <t>P101</t>
  </si>
  <si>
    <t>ORD 1102</t>
  </si>
  <si>
    <t>C102</t>
  </si>
  <si>
    <t>P102</t>
  </si>
  <si>
    <t>ORD 1103</t>
  </si>
  <si>
    <t>C103</t>
  </si>
  <si>
    <t>P103</t>
  </si>
  <si>
    <t>ORD 1104</t>
  </si>
  <si>
    <t>C104</t>
  </si>
  <si>
    <t>P104</t>
  </si>
  <si>
    <t>ORD 1105</t>
  </si>
  <si>
    <t>C105</t>
  </si>
  <si>
    <t>P105</t>
  </si>
  <si>
    <t>ORD 1106</t>
  </si>
  <si>
    <t>C106</t>
  </si>
  <si>
    <t>P106</t>
  </si>
  <si>
    <t>ORD 1107</t>
  </si>
  <si>
    <t>C107</t>
  </si>
  <si>
    <t>P107</t>
  </si>
  <si>
    <t>ORD 1108</t>
  </si>
  <si>
    <t>C108</t>
  </si>
  <si>
    <t>P108</t>
  </si>
  <si>
    <t>ORD 1109</t>
  </si>
  <si>
    <t>C109</t>
  </si>
  <si>
    <t>P109</t>
  </si>
  <si>
    <t>ORD 1110</t>
  </si>
  <si>
    <t>C110</t>
  </si>
  <si>
    <t>P110</t>
  </si>
  <si>
    <t>ORD 1111</t>
  </si>
  <si>
    <t>C111</t>
  </si>
  <si>
    <t>P111</t>
  </si>
  <si>
    <t>ORD 1112</t>
  </si>
  <si>
    <t>C112</t>
  </si>
  <si>
    <t>P112</t>
  </si>
  <si>
    <t>ORD 1113</t>
  </si>
  <si>
    <t>C113</t>
  </si>
  <si>
    <t>P113</t>
  </si>
  <si>
    <t>ORD 1114</t>
  </si>
  <si>
    <t>C114</t>
  </si>
  <si>
    <t>P114</t>
  </si>
  <si>
    <t>ORD 1115</t>
  </si>
  <si>
    <t>C115</t>
  </si>
  <si>
    <t>P115</t>
  </si>
  <si>
    <t>ORD 1116</t>
  </si>
  <si>
    <t>C116</t>
  </si>
  <si>
    <t>P116</t>
  </si>
  <si>
    <t>ORD 1117</t>
  </si>
  <si>
    <t>C117</t>
  </si>
  <si>
    <t>P117</t>
  </si>
  <si>
    <t>ORD 1118</t>
  </si>
  <si>
    <t>C118</t>
  </si>
  <si>
    <t>P118</t>
  </si>
  <si>
    <t>ORD 1119</t>
  </si>
  <si>
    <t>C119</t>
  </si>
  <si>
    <t>P119</t>
  </si>
  <si>
    <t>ORD 1120</t>
  </si>
  <si>
    <t>C120</t>
  </si>
  <si>
    <t>P120</t>
  </si>
  <si>
    <t>ORD 1121</t>
  </si>
  <si>
    <t>C121</t>
  </si>
  <si>
    <t>P121</t>
  </si>
  <si>
    <t>ORD 1122</t>
  </si>
  <si>
    <t>C122</t>
  </si>
  <si>
    <t>P122</t>
  </si>
  <si>
    <t>ORD 1123</t>
  </si>
  <si>
    <t>C123</t>
  </si>
  <si>
    <t>P123</t>
  </si>
  <si>
    <t>ORD 1124</t>
  </si>
  <si>
    <t>C124</t>
  </si>
  <si>
    <t>P124</t>
  </si>
  <si>
    <t>ORD 1125</t>
  </si>
  <si>
    <t>C125</t>
  </si>
  <si>
    <t>P125</t>
  </si>
  <si>
    <t>ORD 1126</t>
  </si>
  <si>
    <t>C126</t>
  </si>
  <si>
    <t>P126</t>
  </si>
  <si>
    <t>ORD 1127</t>
  </si>
  <si>
    <t>C127</t>
  </si>
  <si>
    <t>P127</t>
  </si>
  <si>
    <t>ORD 1128</t>
  </si>
  <si>
    <t>C128</t>
  </si>
  <si>
    <t>P128</t>
  </si>
  <si>
    <t>ORD 1129</t>
  </si>
  <si>
    <t>C129</t>
  </si>
  <si>
    <t>P129</t>
  </si>
  <si>
    <t>ORD 1130</t>
  </si>
  <si>
    <t>C130</t>
  </si>
  <si>
    <t>P130</t>
  </si>
  <si>
    <t>ORD 1131</t>
  </si>
  <si>
    <t>C131</t>
  </si>
  <si>
    <t>P131</t>
  </si>
  <si>
    <t>ORD 1132</t>
  </si>
  <si>
    <t>C132</t>
  </si>
  <si>
    <t>P132</t>
  </si>
  <si>
    <t>ORD 1133</t>
  </si>
  <si>
    <t>C133</t>
  </si>
  <si>
    <t>P133</t>
  </si>
  <si>
    <t>ORD 1134</t>
  </si>
  <si>
    <t>C134</t>
  </si>
  <si>
    <t>P134</t>
  </si>
  <si>
    <t>ORD 1135</t>
  </si>
  <si>
    <t>C135</t>
  </si>
  <si>
    <t>P135</t>
  </si>
  <si>
    <t>ORD 1136</t>
  </si>
  <si>
    <t>C136</t>
  </si>
  <si>
    <t>P136</t>
  </si>
  <si>
    <t>ORD 1137</t>
  </si>
  <si>
    <t>C137</t>
  </si>
  <si>
    <t>P137</t>
  </si>
  <si>
    <t>ORD 1138</t>
  </si>
  <si>
    <t>C138</t>
  </si>
  <si>
    <t>P138</t>
  </si>
  <si>
    <t>ORD 1139</t>
  </si>
  <si>
    <t>C139</t>
  </si>
  <si>
    <t>P139</t>
  </si>
  <si>
    <t>ORD 1140</t>
  </si>
  <si>
    <t>C140</t>
  </si>
  <si>
    <t>P140</t>
  </si>
  <si>
    <t>ORD 1141</t>
  </si>
  <si>
    <t>C141</t>
  </si>
  <si>
    <t>P141</t>
  </si>
  <si>
    <t>ORD 1142</t>
  </si>
  <si>
    <t>C142</t>
  </si>
  <si>
    <t>P142</t>
  </si>
  <si>
    <t>ORD 1143</t>
  </si>
  <si>
    <t>C143</t>
  </si>
  <si>
    <t>P143</t>
  </si>
  <si>
    <t>ORD 1144</t>
  </si>
  <si>
    <t>C144</t>
  </si>
  <si>
    <t>P144</t>
  </si>
  <si>
    <t>ORD 1145</t>
  </si>
  <si>
    <t>C145</t>
  </si>
  <si>
    <t>P145</t>
  </si>
  <si>
    <t>ORD 1146</t>
  </si>
  <si>
    <t>C146</t>
  </si>
  <si>
    <t>P146</t>
  </si>
  <si>
    <t>ORD 1147</t>
  </si>
  <si>
    <t>C147</t>
  </si>
  <si>
    <t>P147</t>
  </si>
  <si>
    <t>ORD 1148</t>
  </si>
  <si>
    <t>C148</t>
  </si>
  <si>
    <t>P148</t>
  </si>
  <si>
    <t>ORD 1149</t>
  </si>
  <si>
    <t>C149</t>
  </si>
  <si>
    <t>P149</t>
  </si>
  <si>
    <t>ORD 1150</t>
  </si>
  <si>
    <t>C150</t>
  </si>
  <si>
    <t>P150</t>
  </si>
  <si>
    <t>ORD 1151</t>
  </si>
  <si>
    <t>C151</t>
  </si>
  <si>
    <t>P151</t>
  </si>
  <si>
    <t>ORD 1152</t>
  </si>
  <si>
    <t>C152</t>
  </si>
  <si>
    <t>P152</t>
  </si>
  <si>
    <t>ORD 1153</t>
  </si>
  <si>
    <t>C153</t>
  </si>
  <si>
    <t>P153</t>
  </si>
  <si>
    <t>ORD 1154</t>
  </si>
  <si>
    <t>C154</t>
  </si>
  <si>
    <t>P154</t>
  </si>
  <si>
    <t>ORD 1155</t>
  </si>
  <si>
    <t>C155</t>
  </si>
  <si>
    <t>P155</t>
  </si>
  <si>
    <t>ORD 1156</t>
  </si>
  <si>
    <t>C156</t>
  </si>
  <si>
    <t>P156</t>
  </si>
  <si>
    <t>ORD 1157</t>
  </si>
  <si>
    <t>C157</t>
  </si>
  <si>
    <t>P157</t>
  </si>
  <si>
    <t>ORD 1158</t>
  </si>
  <si>
    <t>C158</t>
  </si>
  <si>
    <t>P158</t>
  </si>
  <si>
    <t>ORD 1159</t>
  </si>
  <si>
    <t>C159</t>
  </si>
  <si>
    <t>P159</t>
  </si>
  <si>
    <t>ORD 1160</t>
  </si>
  <si>
    <t>C160</t>
  </si>
  <si>
    <t>P160</t>
  </si>
  <si>
    <t>SUM of quantity</t>
  </si>
  <si>
    <t>ACCESSORIES</t>
  </si>
  <si>
    <t>BEAUTY</t>
  </si>
  <si>
    <t>BOOKS</t>
  </si>
  <si>
    <t>DRESS</t>
  </si>
  <si>
    <t>ORD 1161</t>
  </si>
  <si>
    <t>ELECTRONICS</t>
  </si>
  <si>
    <t>C161</t>
  </si>
  <si>
    <t>FOOD</t>
  </si>
  <si>
    <t>HOME &amp; KITCHEN</t>
  </si>
  <si>
    <t>SPORTS</t>
  </si>
  <si>
    <t>P161</t>
  </si>
  <si>
    <t>Grand Total</t>
  </si>
  <si>
    <t>ORD 1162</t>
  </si>
  <si>
    <t>C162</t>
  </si>
  <si>
    <t>P162</t>
  </si>
  <si>
    <t>ORD 1163</t>
  </si>
  <si>
    <t>C163</t>
  </si>
  <si>
    <t>P163</t>
  </si>
  <si>
    <t>ORD 1164</t>
  </si>
  <si>
    <t>C164</t>
  </si>
  <si>
    <t>P164</t>
  </si>
  <si>
    <t>ORD 1165</t>
  </si>
  <si>
    <t>C165</t>
  </si>
  <si>
    <t>P165</t>
  </si>
  <si>
    <t>ORD 1166</t>
  </si>
  <si>
    <t>SUM of sales</t>
  </si>
  <si>
    <t>C166</t>
  </si>
  <si>
    <t>ANDHRA PRADESH</t>
  </si>
  <si>
    <t>P166</t>
  </si>
  <si>
    <t>GUJARAT</t>
  </si>
  <si>
    <t>KARNATAKA</t>
  </si>
  <si>
    <t>KERALA</t>
  </si>
  <si>
    <t>MAGARASTRA</t>
  </si>
  <si>
    <t>RAJASTHAN</t>
  </si>
  <si>
    <t>TAMILNADU</t>
  </si>
  <si>
    <t>TELUGANA</t>
  </si>
  <si>
    <t>ORD 1167</t>
  </si>
  <si>
    <t>UTTHRA PRADESH</t>
  </si>
  <si>
    <t>C167</t>
  </si>
  <si>
    <t>WEST BENGAL</t>
  </si>
  <si>
    <t>P167</t>
  </si>
  <si>
    <t>ORD 1168</t>
  </si>
  <si>
    <t>C168</t>
  </si>
  <si>
    <t>P168</t>
  </si>
  <si>
    <t>ORD 1169</t>
  </si>
  <si>
    <t>C169</t>
  </si>
  <si>
    <t>P169</t>
  </si>
  <si>
    <t>ORD 1170</t>
  </si>
  <si>
    <t>C170</t>
  </si>
  <si>
    <t>P170</t>
  </si>
  <si>
    <t>ORD 1171</t>
  </si>
  <si>
    <t>C171</t>
  </si>
  <si>
    <t>P171</t>
  </si>
  <si>
    <t>ORD 1172</t>
  </si>
  <si>
    <t>C172</t>
  </si>
  <si>
    <t>P172</t>
  </si>
  <si>
    <t>ORD 1173</t>
  </si>
  <si>
    <t>C173</t>
  </si>
  <si>
    <t>P173</t>
  </si>
  <si>
    <t>ORD 1174</t>
  </si>
  <si>
    <t>C174</t>
  </si>
  <si>
    <t>P174</t>
  </si>
  <si>
    <t>ORD 1175</t>
  </si>
  <si>
    <t>C175</t>
  </si>
  <si>
    <t>P175</t>
  </si>
  <si>
    <t>ORD 1176</t>
  </si>
  <si>
    <t>C176</t>
  </si>
  <si>
    <t>P176</t>
  </si>
  <si>
    <t>ORD 1177</t>
  </si>
  <si>
    <t>C177</t>
  </si>
  <si>
    <t>P177</t>
  </si>
  <si>
    <t>ORD 1178</t>
  </si>
  <si>
    <t>C178</t>
  </si>
  <si>
    <t>P178</t>
  </si>
  <si>
    <t>ORD 1179</t>
  </si>
  <si>
    <t>C179</t>
  </si>
  <si>
    <t>P179</t>
  </si>
  <si>
    <t>ORD 1180</t>
  </si>
  <si>
    <t>C180</t>
  </si>
  <si>
    <t>P180</t>
  </si>
  <si>
    <t>ORD 1181</t>
  </si>
  <si>
    <t>C181</t>
  </si>
  <si>
    <t>P181</t>
  </si>
  <si>
    <t>ORD 1182</t>
  </si>
  <si>
    <t>C182</t>
  </si>
  <si>
    <t>P182</t>
  </si>
  <si>
    <t>ORD 1183</t>
  </si>
  <si>
    <t>C183</t>
  </si>
  <si>
    <t>P183</t>
  </si>
  <si>
    <t>ORD 1184</t>
  </si>
  <si>
    <t>C184</t>
  </si>
  <si>
    <t>P184</t>
  </si>
  <si>
    <t>ORD 1185</t>
  </si>
  <si>
    <t>C185</t>
  </si>
  <si>
    <t>P185</t>
  </si>
  <si>
    <t>ORD 1186</t>
  </si>
  <si>
    <t>C186</t>
  </si>
  <si>
    <t>P186</t>
  </si>
  <si>
    <t>ORD 1187</t>
  </si>
  <si>
    <t>C187</t>
  </si>
  <si>
    <t>P187</t>
  </si>
  <si>
    <t>ORD 1188</t>
  </si>
  <si>
    <t>C188</t>
  </si>
  <si>
    <t>P188</t>
  </si>
  <si>
    <t>ORD 1189</t>
  </si>
  <si>
    <t>C189</t>
  </si>
  <si>
    <t>P189</t>
  </si>
  <si>
    <t>ORD 1190</t>
  </si>
  <si>
    <t>C190</t>
  </si>
  <si>
    <t>P190</t>
  </si>
  <si>
    <t>ORD 1191</t>
  </si>
  <si>
    <t>C191</t>
  </si>
  <si>
    <t>P191</t>
  </si>
  <si>
    <t>ORD 1192</t>
  </si>
  <si>
    <t>C192</t>
  </si>
  <si>
    <t>P192</t>
  </si>
  <si>
    <t>ORD 1193</t>
  </si>
  <si>
    <t>C193</t>
  </si>
  <si>
    <t>P193</t>
  </si>
  <si>
    <t>ORD 1194</t>
  </si>
  <si>
    <t>C194</t>
  </si>
  <si>
    <t>P194</t>
  </si>
  <si>
    <t>ORD 1195</t>
  </si>
  <si>
    <t>C195</t>
  </si>
  <si>
    <t>P195</t>
  </si>
  <si>
    <t>ORD 1196</t>
  </si>
  <si>
    <t>C196</t>
  </si>
  <si>
    <t>P196</t>
  </si>
  <si>
    <t>ORD 1197</t>
  </si>
  <si>
    <t>C197</t>
  </si>
  <si>
    <t>P197</t>
  </si>
  <si>
    <t>ORD 1198</t>
  </si>
  <si>
    <t>C198</t>
  </si>
  <si>
    <t>P198</t>
  </si>
  <si>
    <t>ORD 1199</t>
  </si>
  <si>
    <t>C199</t>
  </si>
  <si>
    <t>P199</t>
  </si>
  <si>
    <t>ORD 1200</t>
  </si>
  <si>
    <t>C200</t>
  </si>
  <si>
    <t>P200</t>
  </si>
  <si>
    <t>ORD 1201</t>
  </si>
  <si>
    <t>C201</t>
  </si>
  <si>
    <t>P201</t>
  </si>
  <si>
    <t>ORD 1202</t>
  </si>
  <si>
    <t>C202</t>
  </si>
  <si>
    <t>P202</t>
  </si>
  <si>
    <t>ORD 1203</t>
  </si>
  <si>
    <t>C203</t>
  </si>
  <si>
    <t>P203</t>
  </si>
  <si>
    <t>ORD 1204</t>
  </si>
  <si>
    <t>C204</t>
  </si>
  <si>
    <t>P204</t>
  </si>
  <si>
    <t>ORD 1205</t>
  </si>
  <si>
    <t>C205</t>
  </si>
  <si>
    <t>P205</t>
  </si>
  <si>
    <t>ORD 1206</t>
  </si>
  <si>
    <t>C206</t>
  </si>
  <si>
    <t>P206</t>
  </si>
  <si>
    <t>ORD 1207</t>
  </si>
  <si>
    <t>C207</t>
  </si>
  <si>
    <t>P207</t>
  </si>
  <si>
    <t>ORD 1208</t>
  </si>
  <si>
    <t>C208</t>
  </si>
  <si>
    <t>P208</t>
  </si>
  <si>
    <t>ORD 1209</t>
  </si>
  <si>
    <t>C209</t>
  </si>
  <si>
    <t>P209</t>
  </si>
  <si>
    <t>ORD 1210</t>
  </si>
  <si>
    <t>C210</t>
  </si>
  <si>
    <t>P210</t>
  </si>
  <si>
    <t>ORD 1211</t>
  </si>
  <si>
    <t>C211</t>
  </si>
  <si>
    <t>P211</t>
  </si>
  <si>
    <t>ORD 1212</t>
  </si>
  <si>
    <t>C212</t>
  </si>
  <si>
    <t>P212</t>
  </si>
  <si>
    <t>ORD 1213</t>
  </si>
  <si>
    <t>C213</t>
  </si>
  <si>
    <t>P213</t>
  </si>
  <si>
    <t>ORD 1214</t>
  </si>
  <si>
    <t>C214</t>
  </si>
  <si>
    <t>P214</t>
  </si>
  <si>
    <t>ORD 1215</t>
  </si>
  <si>
    <t>C215</t>
  </si>
  <si>
    <t>P215</t>
  </si>
  <si>
    <t>ORD 1216</t>
  </si>
  <si>
    <t>C216</t>
  </si>
  <si>
    <t>P216</t>
  </si>
  <si>
    <t>ORD 1217</t>
  </si>
  <si>
    <t>C217</t>
  </si>
  <si>
    <t>P217</t>
  </si>
  <si>
    <t>ORD 1218</t>
  </si>
  <si>
    <t>C218</t>
  </si>
  <si>
    <t>P218</t>
  </si>
  <si>
    <t>ORD 1219</t>
  </si>
  <si>
    <t>C219</t>
  </si>
  <si>
    <t>P219</t>
  </si>
  <si>
    <t>ORD 1220</t>
  </si>
  <si>
    <t>C220</t>
  </si>
  <si>
    <t>P220</t>
  </si>
  <si>
    <t>ORD 1221</t>
  </si>
  <si>
    <t>C221</t>
  </si>
  <si>
    <t>P221</t>
  </si>
  <si>
    <t>ORD 1222</t>
  </si>
  <si>
    <t>C222</t>
  </si>
  <si>
    <t>P222</t>
  </si>
  <si>
    <t>ORD 1223</t>
  </si>
  <si>
    <t>C223</t>
  </si>
  <si>
    <t>P223</t>
  </si>
  <si>
    <t>ORD 1224</t>
  </si>
  <si>
    <t>C224</t>
  </si>
  <si>
    <t>P224</t>
  </si>
  <si>
    <t>ORD 1225</t>
  </si>
  <si>
    <t>C225</t>
  </si>
  <si>
    <t>P225</t>
  </si>
  <si>
    <t>ORD 1226</t>
  </si>
  <si>
    <t>C226</t>
  </si>
  <si>
    <t>P226</t>
  </si>
  <si>
    <t>ORD 1227</t>
  </si>
  <si>
    <t>C227</t>
  </si>
  <si>
    <t>P227</t>
  </si>
  <si>
    <t>BIRIYANI</t>
  </si>
  <si>
    <t>EARRINGS</t>
  </si>
  <si>
    <t>ORD 1228</t>
  </si>
  <si>
    <t>FOOTBALL</t>
  </si>
  <si>
    <t>C228</t>
  </si>
  <si>
    <t>KAJAL</t>
  </si>
  <si>
    <t>LIFE OF PI</t>
  </si>
  <si>
    <t>MIXER GRAINDER</t>
  </si>
  <si>
    <t>P228</t>
  </si>
  <si>
    <t>WIRELESS EARBUDS</t>
  </si>
  <si>
    <t>WOMEN WAERS</t>
  </si>
  <si>
    <t>ORD 1229</t>
  </si>
  <si>
    <t>C229</t>
  </si>
  <si>
    <t>P229</t>
  </si>
  <si>
    <t>ORD 1230</t>
  </si>
  <si>
    <t>C230</t>
  </si>
  <si>
    <t>P230</t>
  </si>
  <si>
    <t>ORD 1231</t>
  </si>
  <si>
    <t>C231</t>
  </si>
  <si>
    <t>P231</t>
  </si>
  <si>
    <t>ORD 1232</t>
  </si>
  <si>
    <t>C232</t>
  </si>
  <si>
    <t>P232</t>
  </si>
  <si>
    <t>ORD 1233</t>
  </si>
  <si>
    <t>C233</t>
  </si>
  <si>
    <t>P233</t>
  </si>
  <si>
    <t>ORD 1234</t>
  </si>
  <si>
    <t>C234</t>
  </si>
  <si>
    <t>P234</t>
  </si>
  <si>
    <t>ORD 1235</t>
  </si>
  <si>
    <t>C235</t>
  </si>
  <si>
    <t>P235</t>
  </si>
  <si>
    <t>ORD 1236</t>
  </si>
  <si>
    <t>C236</t>
  </si>
  <si>
    <t>P236</t>
  </si>
  <si>
    <t>ORD 1237</t>
  </si>
  <si>
    <t>C237</t>
  </si>
  <si>
    <t>P237</t>
  </si>
  <si>
    <t>ORD 1238</t>
  </si>
  <si>
    <t>C238</t>
  </si>
  <si>
    <t>P238</t>
  </si>
  <si>
    <t>ORD 1239</t>
  </si>
  <si>
    <t>C239</t>
  </si>
  <si>
    <t>P239</t>
  </si>
  <si>
    <t>ORD 1240</t>
  </si>
  <si>
    <t>C240</t>
  </si>
  <si>
    <t>P240</t>
  </si>
  <si>
    <t>ORD 1241</t>
  </si>
  <si>
    <t>C241</t>
  </si>
  <si>
    <t>P241</t>
  </si>
  <si>
    <t>ORD 1242</t>
  </si>
  <si>
    <t>C242</t>
  </si>
  <si>
    <t>P242</t>
  </si>
  <si>
    <t>ORD 1243</t>
  </si>
  <si>
    <t>C243</t>
  </si>
  <si>
    <t>P243</t>
  </si>
  <si>
    <t>ORD 1244</t>
  </si>
  <si>
    <t>C244</t>
  </si>
  <si>
    <t>P244</t>
  </si>
  <si>
    <t>ORD 1245</t>
  </si>
  <si>
    <t>C245</t>
  </si>
  <si>
    <t>P245</t>
  </si>
  <si>
    <t>ORD 1246</t>
  </si>
  <si>
    <t>C246</t>
  </si>
  <si>
    <t>P246</t>
  </si>
  <si>
    <t>ORD 1247</t>
  </si>
  <si>
    <t>C247</t>
  </si>
  <si>
    <t>P247</t>
  </si>
  <si>
    <t>ORD 1248</t>
  </si>
  <si>
    <t>C248</t>
  </si>
  <si>
    <t>P248</t>
  </si>
  <si>
    <t>ORD 1249</t>
  </si>
  <si>
    <t>C249</t>
  </si>
  <si>
    <t>P249</t>
  </si>
  <si>
    <t>ORD 1250</t>
  </si>
  <si>
    <t>C250</t>
  </si>
  <si>
    <t>P250</t>
  </si>
  <si>
    <t>ORD 1251</t>
  </si>
  <si>
    <t>C251</t>
  </si>
  <si>
    <t>P251</t>
  </si>
  <si>
    <t>ORD 1252</t>
  </si>
  <si>
    <t>C252</t>
  </si>
  <si>
    <t>P252</t>
  </si>
  <si>
    <t>ORD 1253</t>
  </si>
  <si>
    <t>C253</t>
  </si>
  <si>
    <t>P253</t>
  </si>
  <si>
    <t>ORD 1254</t>
  </si>
  <si>
    <t>C254</t>
  </si>
  <si>
    <t>P254</t>
  </si>
  <si>
    <t>ORD 1255</t>
  </si>
  <si>
    <t>C255</t>
  </si>
  <si>
    <t>P255</t>
  </si>
  <si>
    <t>ORD 1256</t>
  </si>
  <si>
    <t>C256</t>
  </si>
  <si>
    <t>P256</t>
  </si>
  <si>
    <t>ORD 1257</t>
  </si>
  <si>
    <t>C257</t>
  </si>
  <si>
    <t>P257</t>
  </si>
  <si>
    <t>ORD 1258</t>
  </si>
  <si>
    <t>C258</t>
  </si>
  <si>
    <t>P258</t>
  </si>
  <si>
    <t>ORD 1259</t>
  </si>
  <si>
    <t>C259</t>
  </si>
  <si>
    <t>P259</t>
  </si>
  <si>
    <t>ORD 1260</t>
  </si>
  <si>
    <t>C260</t>
  </si>
  <si>
    <t>P260</t>
  </si>
  <si>
    <t>ORD 1261</t>
  </si>
  <si>
    <t>C261</t>
  </si>
  <si>
    <t>P261</t>
  </si>
  <si>
    <t>ORD 1262</t>
  </si>
  <si>
    <t>C262</t>
  </si>
  <si>
    <t>P262</t>
  </si>
  <si>
    <t>ORD 1263</t>
  </si>
  <si>
    <t>C263</t>
  </si>
  <si>
    <t>P263</t>
  </si>
  <si>
    <t>ORD 1264</t>
  </si>
  <si>
    <t>C264</t>
  </si>
  <si>
    <t>P264</t>
  </si>
  <si>
    <t>ORD 1265</t>
  </si>
  <si>
    <t>C265</t>
  </si>
  <si>
    <t>P265</t>
  </si>
  <si>
    <t>ORD 1266</t>
  </si>
  <si>
    <t>C266</t>
  </si>
  <si>
    <t>P266</t>
  </si>
  <si>
    <t>ORD 1267</t>
  </si>
  <si>
    <t>C267</t>
  </si>
  <si>
    <t>P267</t>
  </si>
  <si>
    <t>ORD 1268</t>
  </si>
  <si>
    <t>C268</t>
  </si>
  <si>
    <t>P268</t>
  </si>
  <si>
    <t>ORD 1269</t>
  </si>
  <si>
    <t>C269</t>
  </si>
  <si>
    <t>P269</t>
  </si>
  <si>
    <t>ORD 1270</t>
  </si>
  <si>
    <t>C270</t>
  </si>
  <si>
    <t>P270</t>
  </si>
  <si>
    <t>ORD 1271</t>
  </si>
  <si>
    <t>C271</t>
  </si>
  <si>
    <t>P271</t>
  </si>
  <si>
    <t>ORD 1272</t>
  </si>
  <si>
    <t>C272</t>
  </si>
  <si>
    <t>P272</t>
  </si>
  <si>
    <t>ORD 1273</t>
  </si>
  <si>
    <t>C273</t>
  </si>
  <si>
    <t>P273</t>
  </si>
  <si>
    <t>ORD 1274</t>
  </si>
  <si>
    <t>C274</t>
  </si>
  <si>
    <t>P274</t>
  </si>
  <si>
    <t>ORD 1275</t>
  </si>
  <si>
    <t>C275</t>
  </si>
  <si>
    <t>P275</t>
  </si>
  <si>
    <t>ORD 1276</t>
  </si>
  <si>
    <t>C276</t>
  </si>
  <si>
    <t>P276</t>
  </si>
  <si>
    <t>ORD 1277</t>
  </si>
  <si>
    <t>C277</t>
  </si>
  <si>
    <t>P277</t>
  </si>
  <si>
    <t>ORD 1278</t>
  </si>
  <si>
    <t>C278</t>
  </si>
  <si>
    <t>P278</t>
  </si>
  <si>
    <t>ORD 1279</t>
  </si>
  <si>
    <t>C279</t>
  </si>
  <si>
    <t>P279</t>
  </si>
  <si>
    <t>ORD 1280</t>
  </si>
  <si>
    <t>C280</t>
  </si>
  <si>
    <t>P280</t>
  </si>
  <si>
    <t>ORD 1281</t>
  </si>
  <si>
    <t>C281</t>
  </si>
  <si>
    <t>P281</t>
  </si>
  <si>
    <t>ORD 1282</t>
  </si>
  <si>
    <t>C282</t>
  </si>
  <si>
    <t>P282</t>
  </si>
  <si>
    <t>ORD 1283</t>
  </si>
  <si>
    <t>C283</t>
  </si>
  <si>
    <t>P283</t>
  </si>
  <si>
    <t>ORD 1284</t>
  </si>
  <si>
    <t>C284</t>
  </si>
  <si>
    <t>P284</t>
  </si>
  <si>
    <t>ORD 1285</t>
  </si>
  <si>
    <t>C285</t>
  </si>
  <si>
    <t>P285</t>
  </si>
  <si>
    <t>ORD 1286</t>
  </si>
  <si>
    <t>C286</t>
  </si>
  <si>
    <t>P286</t>
  </si>
  <si>
    <t>ORD 1287</t>
  </si>
  <si>
    <t>C287</t>
  </si>
  <si>
    <t>P287</t>
  </si>
  <si>
    <t>ORD 1288</t>
  </si>
  <si>
    <t>C288</t>
  </si>
  <si>
    <t>P288</t>
  </si>
  <si>
    <t>ORD 1289</t>
  </si>
  <si>
    <t>C289</t>
  </si>
  <si>
    <t>P289</t>
  </si>
  <si>
    <t>ORD 1290</t>
  </si>
  <si>
    <t>C290</t>
  </si>
  <si>
    <t>P290</t>
  </si>
  <si>
    <t>ORD 1291</t>
  </si>
  <si>
    <t>C291</t>
  </si>
  <si>
    <t>P291</t>
  </si>
  <si>
    <t>ORD 1292</t>
  </si>
  <si>
    <t>C292</t>
  </si>
  <si>
    <t>P292</t>
  </si>
  <si>
    <t>ORD 1293</t>
  </si>
  <si>
    <t>C293</t>
  </si>
  <si>
    <t>P293</t>
  </si>
  <si>
    <t>ORD 1294</t>
  </si>
  <si>
    <t>C294</t>
  </si>
  <si>
    <t>P294</t>
  </si>
  <si>
    <t>ORD 1295</t>
  </si>
  <si>
    <t>C295</t>
  </si>
  <si>
    <t>P295</t>
  </si>
  <si>
    <t>ORD 1296</t>
  </si>
  <si>
    <t>C296</t>
  </si>
  <si>
    <t>P296</t>
  </si>
  <si>
    <t>ORD 1297</t>
  </si>
  <si>
    <t>C297</t>
  </si>
  <si>
    <t>P297</t>
  </si>
  <si>
    <t>ORD 1298</t>
  </si>
  <si>
    <t>C298</t>
  </si>
  <si>
    <t>P298</t>
  </si>
  <si>
    <t>ORD 1299</t>
  </si>
  <si>
    <t>C299</t>
  </si>
  <si>
    <t>P299</t>
  </si>
  <si>
    <t>ORD 1300</t>
  </si>
  <si>
    <t>C300</t>
  </si>
  <si>
    <t>P300</t>
  </si>
  <si>
    <t>ORD 1301</t>
  </si>
  <si>
    <t>C301</t>
  </si>
  <si>
    <t>P301</t>
  </si>
  <si>
    <t>ORD 1302</t>
  </si>
  <si>
    <t>C302</t>
  </si>
  <si>
    <t>P302</t>
  </si>
  <si>
    <t>ORD 1303</t>
  </si>
  <si>
    <t>C303</t>
  </si>
  <si>
    <t>P303</t>
  </si>
  <si>
    <t>ORD 1304</t>
  </si>
  <si>
    <t>C304</t>
  </si>
  <si>
    <t>P304</t>
  </si>
  <si>
    <t>ORD 1305</t>
  </si>
  <si>
    <t>C305</t>
  </si>
  <si>
    <t>P305</t>
  </si>
  <si>
    <t>ORD 1306</t>
  </si>
  <si>
    <t>C306</t>
  </si>
  <si>
    <t>P306</t>
  </si>
  <si>
    <t>ORD 1307</t>
  </si>
  <si>
    <t>C307</t>
  </si>
  <si>
    <t>P307</t>
  </si>
  <si>
    <t>ORD 1308</t>
  </si>
  <si>
    <t>C308</t>
  </si>
  <si>
    <t>P308</t>
  </si>
  <si>
    <t>ORD 1309</t>
  </si>
  <si>
    <t>C309</t>
  </si>
  <si>
    <t>P309</t>
  </si>
  <si>
    <t>ORD 1310</t>
  </si>
  <si>
    <t>C310</t>
  </si>
  <si>
    <t>P310</t>
  </si>
  <si>
    <t>ORD 1311</t>
  </si>
  <si>
    <t>C311</t>
  </si>
  <si>
    <t>P311</t>
  </si>
  <si>
    <t>ORD 1312</t>
  </si>
  <si>
    <t>C312</t>
  </si>
  <si>
    <t>P312</t>
  </si>
  <si>
    <t>ORD 1313</t>
  </si>
  <si>
    <t>C313</t>
  </si>
  <si>
    <t>P313</t>
  </si>
  <si>
    <t>ORD 1314</t>
  </si>
  <si>
    <t>C314</t>
  </si>
  <si>
    <t>P314</t>
  </si>
  <si>
    <t>ORD 1315</t>
  </si>
  <si>
    <t>C315</t>
  </si>
  <si>
    <t>P315</t>
  </si>
  <si>
    <t>ORD 1316</t>
  </si>
  <si>
    <t>C316</t>
  </si>
  <si>
    <t>P316</t>
  </si>
  <si>
    <t>ORD 1317</t>
  </si>
  <si>
    <t>C317</t>
  </si>
  <si>
    <t>P317</t>
  </si>
  <si>
    <t>ORD 1318</t>
  </si>
  <si>
    <t>C318</t>
  </si>
  <si>
    <t>P318</t>
  </si>
  <si>
    <t>ORD 1319</t>
  </si>
  <si>
    <t>C319</t>
  </si>
  <si>
    <t>P319</t>
  </si>
  <si>
    <t>ORD 1320</t>
  </si>
  <si>
    <t>C320</t>
  </si>
  <si>
    <t>P320</t>
  </si>
  <si>
    <t>ORD 1321</t>
  </si>
  <si>
    <t>C321</t>
  </si>
  <si>
    <t>P321</t>
  </si>
  <si>
    <t>ORD 1322</t>
  </si>
  <si>
    <t>C322</t>
  </si>
  <si>
    <t>P322</t>
  </si>
  <si>
    <t>ORD 1323</t>
  </si>
  <si>
    <t>C323</t>
  </si>
  <si>
    <t>P323</t>
  </si>
  <si>
    <t>ORD 1324</t>
  </si>
  <si>
    <t>C324</t>
  </si>
  <si>
    <t>P324</t>
  </si>
  <si>
    <t>ORD 1325</t>
  </si>
  <si>
    <t>C325</t>
  </si>
  <si>
    <t>P325</t>
  </si>
  <si>
    <t>ORD 1326</t>
  </si>
  <si>
    <t>C326</t>
  </si>
  <si>
    <t>P326</t>
  </si>
  <si>
    <t>ORD 1327</t>
  </si>
  <si>
    <t>C327</t>
  </si>
  <si>
    <t>P327</t>
  </si>
  <si>
    <t>ORD 1328</t>
  </si>
  <si>
    <t>C328</t>
  </si>
  <si>
    <t>P328</t>
  </si>
  <si>
    <t>ORD 1329</t>
  </si>
  <si>
    <t>C329</t>
  </si>
  <si>
    <t>P329</t>
  </si>
  <si>
    <t>ORD 1330</t>
  </si>
  <si>
    <t>C330</t>
  </si>
  <si>
    <t>P330</t>
  </si>
  <si>
    <t>ORD 1331</t>
  </si>
  <si>
    <t>C331</t>
  </si>
  <si>
    <t>P331</t>
  </si>
  <si>
    <t>ORD 1332</t>
  </si>
  <si>
    <t>C332</t>
  </si>
  <si>
    <t>P332</t>
  </si>
  <si>
    <t>ORD 1333</t>
  </si>
  <si>
    <t>C333</t>
  </si>
  <si>
    <t>P333</t>
  </si>
  <si>
    <t>ORD 1334</t>
  </si>
  <si>
    <t>C334</t>
  </si>
  <si>
    <t>P334</t>
  </si>
  <si>
    <t>ORD 1335</t>
  </si>
  <si>
    <t>C335</t>
  </si>
  <si>
    <t>P335</t>
  </si>
  <si>
    <t>ORD 1336</t>
  </si>
  <si>
    <t>C336</t>
  </si>
  <si>
    <t>P336</t>
  </si>
  <si>
    <t>ORD 1337</t>
  </si>
  <si>
    <t>C337</t>
  </si>
  <si>
    <t>P337</t>
  </si>
  <si>
    <t>ORD 1338</t>
  </si>
  <si>
    <t>C338</t>
  </si>
  <si>
    <t>P338</t>
  </si>
  <si>
    <t>ORD 1339</t>
  </si>
  <si>
    <t>C339</t>
  </si>
  <si>
    <t>P339</t>
  </si>
  <si>
    <t>ORD 1340</t>
  </si>
  <si>
    <t>C340</t>
  </si>
  <si>
    <t>P340</t>
  </si>
  <si>
    <t>ORD 1341</t>
  </si>
  <si>
    <t>C341</t>
  </si>
  <si>
    <t>P341</t>
  </si>
  <si>
    <t>ORD 1342</t>
  </si>
  <si>
    <t>C342</t>
  </si>
  <si>
    <t>P342</t>
  </si>
  <si>
    <t>ORD 1343</t>
  </si>
  <si>
    <t>C343</t>
  </si>
  <si>
    <t>P343</t>
  </si>
  <si>
    <t>ORD 1344</t>
  </si>
  <si>
    <t>C344</t>
  </si>
  <si>
    <t>P344</t>
  </si>
  <si>
    <t>ORD 1345</t>
  </si>
  <si>
    <t>C345</t>
  </si>
  <si>
    <t>P345</t>
  </si>
  <si>
    <t>ORD 1346</t>
  </si>
  <si>
    <t>C346</t>
  </si>
  <si>
    <t>P346</t>
  </si>
  <si>
    <t>ORD 1347</t>
  </si>
  <si>
    <t>C347</t>
  </si>
  <si>
    <t>P347</t>
  </si>
  <si>
    <t>ORD 1348</t>
  </si>
  <si>
    <t>C348</t>
  </si>
  <si>
    <t>P348</t>
  </si>
  <si>
    <t>ORD 1349</t>
  </si>
  <si>
    <t>C349</t>
  </si>
  <si>
    <t>P349</t>
  </si>
  <si>
    <t>ORD 1350</t>
  </si>
  <si>
    <t>C350</t>
  </si>
  <si>
    <t>P350</t>
  </si>
  <si>
    <t>ORD 1351</t>
  </si>
  <si>
    <t>C351</t>
  </si>
  <si>
    <t>P351</t>
  </si>
  <si>
    <t>ORD 1352</t>
  </si>
  <si>
    <t>C352</t>
  </si>
  <si>
    <t>P352</t>
  </si>
  <si>
    <t>ORD 1353</t>
  </si>
  <si>
    <t>C353</t>
  </si>
  <si>
    <t>P353</t>
  </si>
  <si>
    <t>ORD 1354</t>
  </si>
  <si>
    <t>C354</t>
  </si>
  <si>
    <t>P354</t>
  </si>
  <si>
    <t>ORD 1355</t>
  </si>
  <si>
    <t>C355</t>
  </si>
  <si>
    <t>P355</t>
  </si>
  <si>
    <t>ORD 1356</t>
  </si>
  <si>
    <t>C356</t>
  </si>
  <si>
    <t>P356</t>
  </si>
  <si>
    <t>ORD 1357</t>
  </si>
  <si>
    <t>C357</t>
  </si>
  <si>
    <t>P357</t>
  </si>
  <si>
    <t>ORD 1358</t>
  </si>
  <si>
    <t>C358</t>
  </si>
  <si>
    <t>P358</t>
  </si>
  <si>
    <t>ORD 1359</t>
  </si>
  <si>
    <t>C359</t>
  </si>
  <si>
    <t>P359</t>
  </si>
  <si>
    <t>ORD 1360</t>
  </si>
  <si>
    <t>C360</t>
  </si>
  <si>
    <t>P360</t>
  </si>
  <si>
    <t>ORD 1361</t>
  </si>
  <si>
    <t>C361</t>
  </si>
  <si>
    <t>P361</t>
  </si>
  <si>
    <t>ORD 1362</t>
  </si>
  <si>
    <t>C362</t>
  </si>
  <si>
    <t>P362</t>
  </si>
  <si>
    <t>ORD 1363</t>
  </si>
  <si>
    <t>C363</t>
  </si>
  <si>
    <t>P363</t>
  </si>
  <si>
    <t>ORD 1364</t>
  </si>
  <si>
    <t>C364</t>
  </si>
  <si>
    <t>P364</t>
  </si>
  <si>
    <t>ORD 1365</t>
  </si>
  <si>
    <t>C365</t>
  </si>
  <si>
    <t>P365</t>
  </si>
  <si>
    <t>ORD 1366</t>
  </si>
  <si>
    <t>C366</t>
  </si>
  <si>
    <t>P366</t>
  </si>
  <si>
    <t>ORD 1367</t>
  </si>
  <si>
    <t>C367</t>
  </si>
  <si>
    <t>P367</t>
  </si>
  <si>
    <t>ORD 1368</t>
  </si>
  <si>
    <t>C368</t>
  </si>
  <si>
    <t>P368</t>
  </si>
  <si>
    <t>ORD 1369</t>
  </si>
  <si>
    <t>C369</t>
  </si>
  <si>
    <t>P369</t>
  </si>
  <si>
    <t>ORD 1370</t>
  </si>
  <si>
    <t>C370</t>
  </si>
  <si>
    <t>P370</t>
  </si>
  <si>
    <t>ORD 1371</t>
  </si>
  <si>
    <t>C371</t>
  </si>
  <si>
    <t>P371</t>
  </si>
  <si>
    <t>ORD 1372</t>
  </si>
  <si>
    <t>C372</t>
  </si>
  <si>
    <t>P372</t>
  </si>
  <si>
    <t>ORD 1373</t>
  </si>
  <si>
    <t>C373</t>
  </si>
  <si>
    <t>P373</t>
  </si>
  <si>
    <t>ORD 1374</t>
  </si>
  <si>
    <t>C374</t>
  </si>
  <si>
    <t>P374</t>
  </si>
  <si>
    <t>ORD 1375</t>
  </si>
  <si>
    <t>C375</t>
  </si>
  <si>
    <t>P375</t>
  </si>
  <si>
    <t>ORD 1376</t>
  </si>
  <si>
    <t>C376</t>
  </si>
  <si>
    <t>P376</t>
  </si>
  <si>
    <t>ORD 1377</t>
  </si>
  <si>
    <t>C377</t>
  </si>
  <si>
    <t>P377</t>
  </si>
  <si>
    <t>ORD 1378</t>
  </si>
  <si>
    <t>C378</t>
  </si>
  <si>
    <t>P378</t>
  </si>
  <si>
    <t>ORD 1379</t>
  </si>
  <si>
    <t>C379</t>
  </si>
  <si>
    <t>P379</t>
  </si>
  <si>
    <t>ORD 1380</t>
  </si>
  <si>
    <t>C380</t>
  </si>
  <si>
    <t>P380</t>
  </si>
  <si>
    <t>COUNTA of order id</t>
  </si>
  <si>
    <t>CARD</t>
  </si>
  <si>
    <t>ORD 1381</t>
  </si>
  <si>
    <t>COD</t>
  </si>
  <si>
    <t>NET BANKING</t>
  </si>
  <si>
    <t>UPI</t>
  </si>
  <si>
    <t>C381</t>
  </si>
  <si>
    <t>WALLET</t>
  </si>
  <si>
    <t>P381</t>
  </si>
  <si>
    <t>ORD 1382</t>
  </si>
  <si>
    <t>C382</t>
  </si>
  <si>
    <t>P382</t>
  </si>
  <si>
    <t>ORD 1383</t>
  </si>
  <si>
    <t>C383</t>
  </si>
  <si>
    <t>P383</t>
  </si>
  <si>
    <t>ORD 1384</t>
  </si>
  <si>
    <t>C384</t>
  </si>
  <si>
    <t>P384</t>
  </si>
  <si>
    <t>ORD 1385</t>
  </si>
  <si>
    <t>C385</t>
  </si>
  <si>
    <t>P385</t>
  </si>
  <si>
    <t>ORD 1386</t>
  </si>
  <si>
    <t>C386</t>
  </si>
  <si>
    <t>P386</t>
  </si>
  <si>
    <t>ORD 1387</t>
  </si>
  <si>
    <t>C387</t>
  </si>
  <si>
    <t>P387</t>
  </si>
  <si>
    <t>ORD 1388</t>
  </si>
  <si>
    <t>C388</t>
  </si>
  <si>
    <t>P388</t>
  </si>
  <si>
    <t>ORD 1389</t>
  </si>
  <si>
    <t>C389</t>
  </si>
  <si>
    <t>P389</t>
  </si>
  <si>
    <t>ORD 1390</t>
  </si>
  <si>
    <t>C390</t>
  </si>
  <si>
    <t>P390</t>
  </si>
  <si>
    <t>ORD 1391</t>
  </si>
  <si>
    <t>C391</t>
  </si>
  <si>
    <t>P391</t>
  </si>
  <si>
    <t>ORD 1392</t>
  </si>
  <si>
    <t>C392</t>
  </si>
  <si>
    <t>P392</t>
  </si>
  <si>
    <t>ORD 1393</t>
  </si>
  <si>
    <t>C393</t>
  </si>
  <si>
    <t>P393</t>
  </si>
  <si>
    <t>ORD 1394</t>
  </si>
  <si>
    <t>C394</t>
  </si>
  <si>
    <t>P394</t>
  </si>
  <si>
    <t>ORD 1395</t>
  </si>
  <si>
    <t>C395</t>
  </si>
  <si>
    <t>P395</t>
  </si>
  <si>
    <t>ORD 1396</t>
  </si>
  <si>
    <t>C396</t>
  </si>
  <si>
    <t>P396</t>
  </si>
  <si>
    <t>ORD 1397</t>
  </si>
  <si>
    <t>C397</t>
  </si>
  <si>
    <t>P397</t>
  </si>
  <si>
    <t>ORD 1398</t>
  </si>
  <si>
    <t>C398</t>
  </si>
  <si>
    <t>P398</t>
  </si>
  <si>
    <t>ORD 1399</t>
  </si>
  <si>
    <t>C399</t>
  </si>
  <si>
    <t>P399</t>
  </si>
  <si>
    <t>ORD 1400</t>
  </si>
  <si>
    <t>C400</t>
  </si>
  <si>
    <t>P400</t>
  </si>
  <si>
    <t>ORD 1401</t>
  </si>
  <si>
    <t>C401</t>
  </si>
  <si>
    <t>P401</t>
  </si>
  <si>
    <t>ORD 1402</t>
  </si>
  <si>
    <t>C402</t>
  </si>
  <si>
    <t>P402</t>
  </si>
  <si>
    <t>ORD 1403</t>
  </si>
  <si>
    <t>C403</t>
  </si>
  <si>
    <t>P403</t>
  </si>
  <si>
    <t>ORD 1404</t>
  </si>
  <si>
    <t>C404</t>
  </si>
  <si>
    <t>P404</t>
  </si>
  <si>
    <t>ORD 1405</t>
  </si>
  <si>
    <t>C405</t>
  </si>
  <si>
    <t>P405</t>
  </si>
  <si>
    <t>ORD 1406</t>
  </si>
  <si>
    <t>C406</t>
  </si>
  <si>
    <t>P406</t>
  </si>
  <si>
    <t>ORD 1407</t>
  </si>
  <si>
    <t>C407</t>
  </si>
  <si>
    <t>P407</t>
  </si>
  <si>
    <t>ORD 1408</t>
  </si>
  <si>
    <t>C408</t>
  </si>
  <si>
    <t>P408</t>
  </si>
  <si>
    <t>ORD 1409</t>
  </si>
  <si>
    <t>C409</t>
  </si>
  <si>
    <t>P409</t>
  </si>
  <si>
    <t>ORD 1410</t>
  </si>
  <si>
    <t>C410</t>
  </si>
  <si>
    <t>P410</t>
  </si>
  <si>
    <t>ORD 1411</t>
  </si>
  <si>
    <t>C411</t>
  </si>
  <si>
    <t>P411</t>
  </si>
  <si>
    <t>ORD 1412</t>
  </si>
  <si>
    <t>C412</t>
  </si>
  <si>
    <t>P412</t>
  </si>
  <si>
    <t>ORD 1413</t>
  </si>
  <si>
    <t>C413</t>
  </si>
  <si>
    <t>P413</t>
  </si>
  <si>
    <t>ORD 1414</t>
  </si>
  <si>
    <t>C414</t>
  </si>
  <si>
    <t>P414</t>
  </si>
  <si>
    <t>ORD 1415</t>
  </si>
  <si>
    <t>C415</t>
  </si>
  <si>
    <t>P415</t>
  </si>
  <si>
    <t>ORD 1416</t>
  </si>
  <si>
    <t>C416</t>
  </si>
  <si>
    <t>P416</t>
  </si>
  <si>
    <t>ORD 1417</t>
  </si>
  <si>
    <t>C417</t>
  </si>
  <si>
    <t>P417</t>
  </si>
  <si>
    <t>ORD 1418</t>
  </si>
  <si>
    <t>C418</t>
  </si>
  <si>
    <t>P418</t>
  </si>
  <si>
    <t>ORD 1419</t>
  </si>
  <si>
    <t>C419</t>
  </si>
  <si>
    <t>P419</t>
  </si>
  <si>
    <t>ORD 1420</t>
  </si>
  <si>
    <t>C420</t>
  </si>
  <si>
    <t>P420</t>
  </si>
  <si>
    <t>ORD 1421</t>
  </si>
  <si>
    <t>C421</t>
  </si>
  <si>
    <t>P421</t>
  </si>
  <si>
    <t>ORD 1422</t>
  </si>
  <si>
    <t>C422</t>
  </si>
  <si>
    <t>P422</t>
  </si>
  <si>
    <t>ORD 1423</t>
  </si>
  <si>
    <t>C423</t>
  </si>
  <si>
    <t>P423</t>
  </si>
  <si>
    <t>ORD 1424</t>
  </si>
  <si>
    <t>C424</t>
  </si>
  <si>
    <t>P424</t>
  </si>
  <si>
    <t>ORD 1425</t>
  </si>
  <si>
    <t>C425</t>
  </si>
  <si>
    <t>P425</t>
  </si>
  <si>
    <t>ORD 1426</t>
  </si>
  <si>
    <t>C426</t>
  </si>
  <si>
    <t>P426</t>
  </si>
  <si>
    <t>ORD 1427</t>
  </si>
  <si>
    <t>C427</t>
  </si>
  <si>
    <t>P427</t>
  </si>
  <si>
    <t>ORD 1428</t>
  </si>
  <si>
    <t>C428</t>
  </si>
  <si>
    <t>P428</t>
  </si>
  <si>
    <t>ORD 1429</t>
  </si>
  <si>
    <t>C429</t>
  </si>
  <si>
    <t>P429</t>
  </si>
  <si>
    <t>ORD 1430</t>
  </si>
  <si>
    <t>C430</t>
  </si>
  <si>
    <t>P430</t>
  </si>
  <si>
    <t>ORD 1431</t>
  </si>
  <si>
    <t>C431</t>
  </si>
  <si>
    <t>P431</t>
  </si>
  <si>
    <t>ORD 1432</t>
  </si>
  <si>
    <t>C432</t>
  </si>
  <si>
    <t>P432</t>
  </si>
  <si>
    <t>ORD 1433</t>
  </si>
  <si>
    <t>C433</t>
  </si>
  <si>
    <t>P433</t>
  </si>
  <si>
    <t>ORD 1434</t>
  </si>
  <si>
    <t>C434</t>
  </si>
  <si>
    <t>P434</t>
  </si>
  <si>
    <t>ORD 1435</t>
  </si>
  <si>
    <t>C435</t>
  </si>
  <si>
    <t>P435</t>
  </si>
  <si>
    <t>ORD 1436</t>
  </si>
  <si>
    <t>C436</t>
  </si>
  <si>
    <t>P436</t>
  </si>
  <si>
    <t>ORD 1437</t>
  </si>
  <si>
    <t>C437</t>
  </si>
  <si>
    <t>P437</t>
  </si>
  <si>
    <t>ORD 1438</t>
  </si>
  <si>
    <t>C438</t>
  </si>
  <si>
    <t>P438</t>
  </si>
  <si>
    <t>ORD 1439</t>
  </si>
  <si>
    <t>C439</t>
  </si>
  <si>
    <t>P439</t>
  </si>
  <si>
    <t>ORD 1440</t>
  </si>
  <si>
    <t>C440</t>
  </si>
  <si>
    <t>P440</t>
  </si>
  <si>
    <t>ORD 1441</t>
  </si>
  <si>
    <t>C441</t>
  </si>
  <si>
    <t>P441</t>
  </si>
  <si>
    <t>ORD 1442</t>
  </si>
  <si>
    <t>C442</t>
  </si>
  <si>
    <t>P442</t>
  </si>
  <si>
    <t>ORD 1443</t>
  </si>
  <si>
    <t>C443</t>
  </si>
  <si>
    <t>P443</t>
  </si>
  <si>
    <t>ORD 1444</t>
  </si>
  <si>
    <t>C444</t>
  </si>
  <si>
    <t>P444</t>
  </si>
  <si>
    <t>ORD 1445</t>
  </si>
  <si>
    <t>C445</t>
  </si>
  <si>
    <t>P445</t>
  </si>
  <si>
    <t>ORD 1446</t>
  </si>
  <si>
    <t>C446</t>
  </si>
  <si>
    <t>P446</t>
  </si>
  <si>
    <t>ORD 1447</t>
  </si>
  <si>
    <t>C447</t>
  </si>
  <si>
    <t>P447</t>
  </si>
  <si>
    <t>ORD 1448</t>
  </si>
  <si>
    <t>C448</t>
  </si>
  <si>
    <t>P448</t>
  </si>
  <si>
    <t>ORD 1449</t>
  </si>
  <si>
    <t>C449</t>
  </si>
  <si>
    <t>P449</t>
  </si>
  <si>
    <t>ORD 1450</t>
  </si>
  <si>
    <t>C450</t>
  </si>
  <si>
    <t>P450</t>
  </si>
  <si>
    <t>ORD 1451</t>
  </si>
  <si>
    <t>C451</t>
  </si>
  <si>
    <t>P451</t>
  </si>
  <si>
    <t>ORD 1452</t>
  </si>
  <si>
    <t>C452</t>
  </si>
  <si>
    <t>P452</t>
  </si>
  <si>
    <t>ORD 1453</t>
  </si>
  <si>
    <t>C453</t>
  </si>
  <si>
    <t>P453</t>
  </si>
  <si>
    <t>ORD 1454</t>
  </si>
  <si>
    <t>C454</t>
  </si>
  <si>
    <t>P454</t>
  </si>
  <si>
    <t>ORD 1455</t>
  </si>
  <si>
    <t>C455</t>
  </si>
  <si>
    <t>P455</t>
  </si>
  <si>
    <t>ORD 1456</t>
  </si>
  <si>
    <t>C456</t>
  </si>
  <si>
    <t>P456</t>
  </si>
  <si>
    <t>ORD 1457</t>
  </si>
  <si>
    <t>C457</t>
  </si>
  <si>
    <t>P457</t>
  </si>
  <si>
    <t>ORD 1458</t>
  </si>
  <si>
    <t>C458</t>
  </si>
  <si>
    <t>P458</t>
  </si>
  <si>
    <t>ORD 1459</t>
  </si>
  <si>
    <t>C459</t>
  </si>
  <si>
    <t>P459</t>
  </si>
  <si>
    <t>ORD 1460</t>
  </si>
  <si>
    <t>C460</t>
  </si>
  <si>
    <t>P460</t>
  </si>
  <si>
    <t>ORD 1461</t>
  </si>
  <si>
    <t>C461</t>
  </si>
  <si>
    <t>P461</t>
  </si>
  <si>
    <t>ORD 1462</t>
  </si>
  <si>
    <t>C462</t>
  </si>
  <si>
    <t>P462</t>
  </si>
  <si>
    <t>ORD 1463</t>
  </si>
  <si>
    <t>C463</t>
  </si>
  <si>
    <t>P463</t>
  </si>
  <si>
    <t>ORD 1464</t>
  </si>
  <si>
    <t>C464</t>
  </si>
  <si>
    <t>P464</t>
  </si>
  <si>
    <t>ORD 1465</t>
  </si>
  <si>
    <t>C465</t>
  </si>
  <si>
    <t>P465</t>
  </si>
  <si>
    <t>ORD 1466</t>
  </si>
  <si>
    <t>C466</t>
  </si>
  <si>
    <t>P466</t>
  </si>
  <si>
    <t>ORD 1467</t>
  </si>
  <si>
    <t>C467</t>
  </si>
  <si>
    <t>P467</t>
  </si>
  <si>
    <t>ORD 1468</t>
  </si>
  <si>
    <t>C468</t>
  </si>
  <si>
    <t>P468</t>
  </si>
  <si>
    <t>ORD 1469</t>
  </si>
  <si>
    <t>C469</t>
  </si>
  <si>
    <t>P469</t>
  </si>
  <si>
    <t>ORD 1470</t>
  </si>
  <si>
    <t>C470</t>
  </si>
  <si>
    <t>P470</t>
  </si>
  <si>
    <t>ORD 1471</t>
  </si>
  <si>
    <t>C471</t>
  </si>
  <si>
    <t>P471</t>
  </si>
  <si>
    <t>ORD 1472</t>
  </si>
  <si>
    <t>C472</t>
  </si>
  <si>
    <t>P472</t>
  </si>
  <si>
    <t>ORD 1473</t>
  </si>
  <si>
    <t>C473</t>
  </si>
  <si>
    <t>P473</t>
  </si>
  <si>
    <t>ORD 1474</t>
  </si>
  <si>
    <t>C474</t>
  </si>
  <si>
    <t>P474</t>
  </si>
  <si>
    <t>ORD 1475</t>
  </si>
  <si>
    <t>C475</t>
  </si>
  <si>
    <t>P475</t>
  </si>
  <si>
    <t>ORD 1476</t>
  </si>
  <si>
    <t>C476</t>
  </si>
  <si>
    <t>P476</t>
  </si>
  <si>
    <t>ORD 1477</t>
  </si>
  <si>
    <t>C477</t>
  </si>
  <si>
    <t>P477</t>
  </si>
  <si>
    <t>ORD 1478</t>
  </si>
  <si>
    <t>C478</t>
  </si>
  <si>
    <t>P478</t>
  </si>
  <si>
    <t>ORD 1479</t>
  </si>
  <si>
    <t>C479</t>
  </si>
  <si>
    <t>P479</t>
  </si>
  <si>
    <t>ORD 1480</t>
  </si>
  <si>
    <t>C480</t>
  </si>
  <si>
    <t>P480</t>
  </si>
  <si>
    <t>ORD 1481</t>
  </si>
  <si>
    <t>C481</t>
  </si>
  <si>
    <t>P481</t>
  </si>
  <si>
    <t>ORD 1482</t>
  </si>
  <si>
    <t>C482</t>
  </si>
  <si>
    <t>P482</t>
  </si>
  <si>
    <t>ORD 1483</t>
  </si>
  <si>
    <t>C483</t>
  </si>
  <si>
    <t>P483</t>
  </si>
  <si>
    <t>ORD 1484</t>
  </si>
  <si>
    <t>C484</t>
  </si>
  <si>
    <t>P484</t>
  </si>
  <si>
    <t>ORD 1485</t>
  </si>
  <si>
    <t>C485</t>
  </si>
  <si>
    <t>P485</t>
  </si>
  <si>
    <t>ORD 1486</t>
  </si>
  <si>
    <t>C486</t>
  </si>
  <si>
    <t>P486</t>
  </si>
  <si>
    <t>ORD 1487</t>
  </si>
  <si>
    <t>C487</t>
  </si>
  <si>
    <t>P487</t>
  </si>
  <si>
    <t>ORD 1488</t>
  </si>
  <si>
    <t>C488</t>
  </si>
  <si>
    <t>P488</t>
  </si>
  <si>
    <t>ORD 1489</t>
  </si>
  <si>
    <t>C489</t>
  </si>
  <si>
    <t>P489</t>
  </si>
  <si>
    <t>ORD 1490</t>
  </si>
  <si>
    <t>C490</t>
  </si>
  <si>
    <t>P490</t>
  </si>
  <si>
    <t>ORD 1491</t>
  </si>
  <si>
    <t>C491</t>
  </si>
  <si>
    <t>P491</t>
  </si>
  <si>
    <t>ORD 1492</t>
  </si>
  <si>
    <t>C492</t>
  </si>
  <si>
    <t>P492</t>
  </si>
  <si>
    <t>ORD 1493</t>
  </si>
  <si>
    <t>C493</t>
  </si>
  <si>
    <t>P493</t>
  </si>
  <si>
    <t>ORD 1494</t>
  </si>
  <si>
    <t>C494</t>
  </si>
  <si>
    <t>P494</t>
  </si>
  <si>
    <t>ORD 1495</t>
  </si>
  <si>
    <t>C495</t>
  </si>
  <si>
    <t>P495</t>
  </si>
  <si>
    <t>ORD 1496</t>
  </si>
  <si>
    <t>C496</t>
  </si>
  <si>
    <t>P496</t>
  </si>
  <si>
    <t>ORD 1497</t>
  </si>
  <si>
    <t>C497</t>
  </si>
  <si>
    <t>P497</t>
  </si>
  <si>
    <t>ORD 1498</t>
  </si>
  <si>
    <t>C498</t>
  </si>
  <si>
    <t>P498</t>
  </si>
  <si>
    <t>ORD 1499</t>
  </si>
  <si>
    <t>C499</t>
  </si>
  <si>
    <t>P499</t>
  </si>
  <si>
    <t>ORD 1500</t>
  </si>
  <si>
    <t>C500</t>
  </si>
  <si>
    <t>P500</t>
  </si>
  <si>
    <t>ORD 1501</t>
  </si>
  <si>
    <t>C501</t>
  </si>
  <si>
    <t>P501</t>
  </si>
  <si>
    <t>ORD 1502</t>
  </si>
  <si>
    <t>C502</t>
  </si>
  <si>
    <t>P502</t>
  </si>
  <si>
    <t>ORD 1503</t>
  </si>
  <si>
    <t>C503</t>
  </si>
  <si>
    <t>P503</t>
  </si>
  <si>
    <t>ORD 1504</t>
  </si>
  <si>
    <t>C504</t>
  </si>
  <si>
    <t>P504</t>
  </si>
  <si>
    <t>ORD 1505</t>
  </si>
  <si>
    <t>C505</t>
  </si>
  <si>
    <t>P505</t>
  </si>
  <si>
    <t>ORD 1506</t>
  </si>
  <si>
    <t>C506</t>
  </si>
  <si>
    <t>P506</t>
  </si>
  <si>
    <t>ORD 1507</t>
  </si>
  <si>
    <t>C507</t>
  </si>
  <si>
    <t>P507</t>
  </si>
  <si>
    <t>ORD 1508</t>
  </si>
  <si>
    <t>C508</t>
  </si>
  <si>
    <t>P508</t>
  </si>
  <si>
    <t>ORD 1509</t>
  </si>
  <si>
    <t>C509</t>
  </si>
  <si>
    <t>P509</t>
  </si>
  <si>
    <t>ORD 1510</t>
  </si>
  <si>
    <t>C510</t>
  </si>
  <si>
    <t>P510</t>
  </si>
  <si>
    <t>ORD 1511</t>
  </si>
  <si>
    <t>C511</t>
  </si>
  <si>
    <t>P511</t>
  </si>
  <si>
    <t>ORD 1512</t>
  </si>
  <si>
    <t>C512</t>
  </si>
  <si>
    <t>P512</t>
  </si>
  <si>
    <t>ORD 1513</t>
  </si>
  <si>
    <t>C513</t>
  </si>
  <si>
    <t>P513</t>
  </si>
  <si>
    <t>ORD 1514</t>
  </si>
  <si>
    <t>C514</t>
  </si>
  <si>
    <t>P514</t>
  </si>
  <si>
    <t>ORD 1515</t>
  </si>
  <si>
    <t>C515</t>
  </si>
  <si>
    <t>P515</t>
  </si>
  <si>
    <t>ORD 1516</t>
  </si>
  <si>
    <t>C516</t>
  </si>
  <si>
    <t>P516</t>
  </si>
  <si>
    <t>ORD 1517</t>
  </si>
  <si>
    <t>C517</t>
  </si>
  <si>
    <t>P517</t>
  </si>
  <si>
    <t>ORD 1518</t>
  </si>
  <si>
    <t>C518</t>
  </si>
  <si>
    <t>P518</t>
  </si>
  <si>
    <t>ORD 1519</t>
  </si>
  <si>
    <t>C519</t>
  </si>
  <si>
    <t>P519</t>
  </si>
  <si>
    <t>ORD 1520</t>
  </si>
  <si>
    <t>C520</t>
  </si>
  <si>
    <t>P520</t>
  </si>
  <si>
    <t>ORD 1521</t>
  </si>
  <si>
    <t>C521</t>
  </si>
  <si>
    <t>P521</t>
  </si>
  <si>
    <t>ORD 1522</t>
  </si>
  <si>
    <t>C522</t>
  </si>
  <si>
    <t>P522</t>
  </si>
  <si>
    <t>ORD 1523</t>
  </si>
  <si>
    <t>C523</t>
  </si>
  <si>
    <t>P523</t>
  </si>
  <si>
    <t>ORD 1524</t>
  </si>
  <si>
    <t>C524</t>
  </si>
  <si>
    <t>P524</t>
  </si>
  <si>
    <t>ORD 1525</t>
  </si>
  <si>
    <t>C525</t>
  </si>
  <si>
    <t>P525</t>
  </si>
  <si>
    <t>ORD 1526</t>
  </si>
  <si>
    <t>C526</t>
  </si>
  <si>
    <t>P526</t>
  </si>
  <si>
    <t>ORD 1527</t>
  </si>
  <si>
    <t>C527</t>
  </si>
  <si>
    <t>P527</t>
  </si>
  <si>
    <t>ORD 1528</t>
  </si>
  <si>
    <t>C528</t>
  </si>
  <si>
    <t>P528</t>
  </si>
  <si>
    <t>ORD 1529</t>
  </si>
  <si>
    <t>C529</t>
  </si>
  <si>
    <t>P529</t>
  </si>
  <si>
    <t>ORD 1530</t>
  </si>
  <si>
    <t>C530</t>
  </si>
  <si>
    <t>P530</t>
  </si>
  <si>
    <t>ORD 1531</t>
  </si>
  <si>
    <t>C531</t>
  </si>
  <si>
    <t>P531</t>
  </si>
  <si>
    <t>ORD 1532</t>
  </si>
  <si>
    <t>C532</t>
  </si>
  <si>
    <t>P532</t>
  </si>
  <si>
    <t>ORD 1533</t>
  </si>
  <si>
    <t>C533</t>
  </si>
  <si>
    <t>P533</t>
  </si>
  <si>
    <t>ORD 1534</t>
  </si>
  <si>
    <t>C534</t>
  </si>
  <si>
    <t>P534</t>
  </si>
  <si>
    <t>ORD 1535</t>
  </si>
  <si>
    <t>C535</t>
  </si>
  <si>
    <t>P535</t>
  </si>
  <si>
    <t>ORD 1536</t>
  </si>
  <si>
    <t>C536</t>
  </si>
  <si>
    <t>P536</t>
  </si>
  <si>
    <t>ORD 1537</t>
  </si>
  <si>
    <t>C537</t>
  </si>
  <si>
    <t>P537</t>
  </si>
  <si>
    <t>ORD 1538</t>
  </si>
  <si>
    <t>C538</t>
  </si>
  <si>
    <t>P538</t>
  </si>
  <si>
    <t>ORD 1539</t>
  </si>
  <si>
    <t>C539</t>
  </si>
  <si>
    <t>P539</t>
  </si>
  <si>
    <t>ORD 1540</t>
  </si>
  <si>
    <t>C540</t>
  </si>
  <si>
    <t>P540</t>
  </si>
  <si>
    <t>ORD 1541</t>
  </si>
  <si>
    <t>C541</t>
  </si>
  <si>
    <t>P541</t>
  </si>
  <si>
    <t>ORD 1542</t>
  </si>
  <si>
    <t>C542</t>
  </si>
  <si>
    <t>P542</t>
  </si>
  <si>
    <t>ORD 1543</t>
  </si>
  <si>
    <t>C543</t>
  </si>
  <si>
    <t>P543</t>
  </si>
  <si>
    <t>ORD 1544</t>
  </si>
  <si>
    <t>C544</t>
  </si>
  <si>
    <t>P544</t>
  </si>
  <si>
    <t>ORD 1545</t>
  </si>
  <si>
    <t>C545</t>
  </si>
  <si>
    <t>P545</t>
  </si>
  <si>
    <t>ORD 1546</t>
  </si>
  <si>
    <t>C546</t>
  </si>
  <si>
    <t>P546</t>
  </si>
  <si>
    <t>ORD 1547</t>
  </si>
  <si>
    <t>C547</t>
  </si>
  <si>
    <t>P547</t>
  </si>
  <si>
    <t>ORD 1548</t>
  </si>
  <si>
    <t>C548</t>
  </si>
  <si>
    <t>P548</t>
  </si>
  <si>
    <t>ORD 1549</t>
  </si>
  <si>
    <t>C549</t>
  </si>
  <si>
    <t>P549</t>
  </si>
  <si>
    <t>ORD 1550</t>
  </si>
  <si>
    <t>C550</t>
  </si>
  <si>
    <t>P550</t>
  </si>
  <si>
    <t>ORD 1551</t>
  </si>
  <si>
    <t>C551</t>
  </si>
  <si>
    <t>P551</t>
  </si>
  <si>
    <t>ORD 1552</t>
  </si>
  <si>
    <t>C552</t>
  </si>
  <si>
    <t>P552</t>
  </si>
  <si>
    <t>ORD 1553</t>
  </si>
  <si>
    <t>C553</t>
  </si>
  <si>
    <t>P553</t>
  </si>
  <si>
    <t>ORD 1554</t>
  </si>
  <si>
    <t>C554</t>
  </si>
  <si>
    <t>P554</t>
  </si>
  <si>
    <t>ORD 1555</t>
  </si>
  <si>
    <t>C555</t>
  </si>
  <si>
    <t>P555</t>
  </si>
  <si>
    <t>ORD 1556</t>
  </si>
  <si>
    <t>C556</t>
  </si>
  <si>
    <t>P556</t>
  </si>
  <si>
    <t>ORD 1557</t>
  </si>
  <si>
    <t>C557</t>
  </si>
  <si>
    <t>P557</t>
  </si>
  <si>
    <t>ORD 1558</t>
  </si>
  <si>
    <t>C558</t>
  </si>
  <si>
    <t>P558</t>
  </si>
  <si>
    <t>ORD 1559</t>
  </si>
  <si>
    <t>C559</t>
  </si>
  <si>
    <t>P559</t>
  </si>
  <si>
    <t>ORD 1560</t>
  </si>
  <si>
    <t>C560</t>
  </si>
  <si>
    <t>P560</t>
  </si>
  <si>
    <t>ORD 1561</t>
  </si>
  <si>
    <t>C561</t>
  </si>
  <si>
    <t>P561</t>
  </si>
  <si>
    <t>ORD 1562</t>
  </si>
  <si>
    <t>C562</t>
  </si>
  <si>
    <t>P562</t>
  </si>
  <si>
    <t>ORD 1563</t>
  </si>
  <si>
    <t>C563</t>
  </si>
  <si>
    <t>P563</t>
  </si>
  <si>
    <t>ORD 1564</t>
  </si>
  <si>
    <t>C564</t>
  </si>
  <si>
    <t>P564</t>
  </si>
  <si>
    <t>ORD 1565</t>
  </si>
  <si>
    <t>C565</t>
  </si>
  <si>
    <t>P565</t>
  </si>
  <si>
    <t>ORD 1566</t>
  </si>
  <si>
    <t>C566</t>
  </si>
  <si>
    <t>P566</t>
  </si>
  <si>
    <t>ORD 1567</t>
  </si>
  <si>
    <t>C567</t>
  </si>
  <si>
    <t>P567</t>
  </si>
  <si>
    <t>ORD 1568</t>
  </si>
  <si>
    <t>C568</t>
  </si>
  <si>
    <t>P568</t>
  </si>
  <si>
    <t>ORD 1569</t>
  </si>
  <si>
    <t>C569</t>
  </si>
  <si>
    <t>P569</t>
  </si>
  <si>
    <t>ORD 1570</t>
  </si>
  <si>
    <t>C570</t>
  </si>
  <si>
    <t>P570</t>
  </si>
  <si>
    <t>ORD 1571</t>
  </si>
  <si>
    <t>C571</t>
  </si>
  <si>
    <t>P571</t>
  </si>
  <si>
    <t>ORD 1572</t>
  </si>
  <si>
    <t>C572</t>
  </si>
  <si>
    <t>P572</t>
  </si>
  <si>
    <t>ORD 1573</t>
  </si>
  <si>
    <t>C573</t>
  </si>
  <si>
    <t>P573</t>
  </si>
  <si>
    <t>ORD 1574</t>
  </si>
  <si>
    <t>C574</t>
  </si>
  <si>
    <t>P574</t>
  </si>
  <si>
    <t>ORD 1575</t>
  </si>
  <si>
    <t>C575</t>
  </si>
  <si>
    <t>P575</t>
  </si>
  <si>
    <t>ORD 1576</t>
  </si>
  <si>
    <t>C576</t>
  </si>
  <si>
    <t>P576</t>
  </si>
  <si>
    <t>ORD 1577</t>
  </si>
  <si>
    <t>C577</t>
  </si>
  <si>
    <t>P577</t>
  </si>
  <si>
    <t>ORD 1578</t>
  </si>
  <si>
    <t>C578</t>
  </si>
  <si>
    <t>P578</t>
  </si>
  <si>
    <t>ORD 1579</t>
  </si>
  <si>
    <t>C579</t>
  </si>
  <si>
    <t>P579</t>
  </si>
  <si>
    <t>ORD 1580</t>
  </si>
  <si>
    <t>C580</t>
  </si>
  <si>
    <t>P580</t>
  </si>
  <si>
    <t>ORD 1581</t>
  </si>
  <si>
    <t>C581</t>
  </si>
  <si>
    <t>P581</t>
  </si>
  <si>
    <t>ORD 1582</t>
  </si>
  <si>
    <t>C582</t>
  </si>
  <si>
    <t>P582</t>
  </si>
  <si>
    <t>ORD 1583</t>
  </si>
  <si>
    <t>C583</t>
  </si>
  <si>
    <t>P583</t>
  </si>
  <si>
    <t>ORD 1584</t>
  </si>
  <si>
    <t>C584</t>
  </si>
  <si>
    <t>P584</t>
  </si>
  <si>
    <t>ORD 1585</t>
  </si>
  <si>
    <t>C585</t>
  </si>
  <si>
    <t>P585</t>
  </si>
  <si>
    <t>ORD 1586</t>
  </si>
  <si>
    <t>C586</t>
  </si>
  <si>
    <t>P586</t>
  </si>
  <si>
    <t>ORD 1587</t>
  </si>
  <si>
    <t>C587</t>
  </si>
  <si>
    <t>P587</t>
  </si>
  <si>
    <t>ORD 1588</t>
  </si>
  <si>
    <t>C588</t>
  </si>
  <si>
    <t>P588</t>
  </si>
  <si>
    <t>ORD 1589</t>
  </si>
  <si>
    <t>C589</t>
  </si>
  <si>
    <t>P589</t>
  </si>
  <si>
    <t>ORD 1590</t>
  </si>
  <si>
    <t>C590</t>
  </si>
  <si>
    <t>P590</t>
  </si>
  <si>
    <t>ORD 1591</t>
  </si>
  <si>
    <t>C591</t>
  </si>
  <si>
    <t>P591</t>
  </si>
  <si>
    <t>ORD 1592</t>
  </si>
  <si>
    <t>C592</t>
  </si>
  <si>
    <t>P592</t>
  </si>
  <si>
    <t>ORD 1593</t>
  </si>
  <si>
    <t>C593</t>
  </si>
  <si>
    <t>P593</t>
  </si>
  <si>
    <t>ORD 1594</t>
  </si>
  <si>
    <t>C594</t>
  </si>
  <si>
    <t>P594</t>
  </si>
  <si>
    <t>ORD 1595</t>
  </si>
  <si>
    <t>C595</t>
  </si>
  <si>
    <t>P595</t>
  </si>
  <si>
    <t>ORD 1596</t>
  </si>
  <si>
    <t>C596</t>
  </si>
  <si>
    <t>P596</t>
  </si>
  <si>
    <t>ORD 1597</t>
  </si>
  <si>
    <t>C597</t>
  </si>
  <si>
    <t>P597</t>
  </si>
  <si>
    <t>ORD 1598</t>
  </si>
  <si>
    <t>C598</t>
  </si>
  <si>
    <t>P598</t>
  </si>
  <si>
    <t>ORD 1599</t>
  </si>
  <si>
    <t>C599</t>
  </si>
  <si>
    <t>P599</t>
  </si>
  <si>
    <t>ORD 1600</t>
  </si>
  <si>
    <t>C600</t>
  </si>
  <si>
    <t>P600</t>
  </si>
  <si>
    <t>ORD 1601</t>
  </si>
  <si>
    <t>C601</t>
  </si>
  <si>
    <t>P601</t>
  </si>
  <si>
    <t>ORD 1602</t>
  </si>
  <si>
    <t>C602</t>
  </si>
  <si>
    <t>P602</t>
  </si>
  <si>
    <t>ORD 1603</t>
  </si>
  <si>
    <t>C603</t>
  </si>
  <si>
    <t>P603</t>
  </si>
  <si>
    <t>ORD 1604</t>
  </si>
  <si>
    <t>C604</t>
  </si>
  <si>
    <t>P604</t>
  </si>
  <si>
    <t>ORD 1605</t>
  </si>
  <si>
    <t>C605</t>
  </si>
  <si>
    <t>P605</t>
  </si>
  <si>
    <t>ORD 1606</t>
  </si>
  <si>
    <t>C606</t>
  </si>
  <si>
    <t>P606</t>
  </si>
  <si>
    <t>ORD 1607</t>
  </si>
  <si>
    <t>C607</t>
  </si>
  <si>
    <t>P607</t>
  </si>
  <si>
    <t>ORD 1608</t>
  </si>
  <si>
    <t>C608</t>
  </si>
  <si>
    <t>P608</t>
  </si>
  <si>
    <t>ORD 1609</t>
  </si>
  <si>
    <t>C609</t>
  </si>
  <si>
    <t>P609</t>
  </si>
  <si>
    <t>ORD 1610</t>
  </si>
  <si>
    <t>C610</t>
  </si>
  <si>
    <t>P610</t>
  </si>
  <si>
    <t>ORD 1611</t>
  </si>
  <si>
    <t>C611</t>
  </si>
  <si>
    <t>P611</t>
  </si>
  <si>
    <t>ORD 1612</t>
  </si>
  <si>
    <t>C612</t>
  </si>
  <si>
    <t>P612</t>
  </si>
  <si>
    <t>ORD 1613</t>
  </si>
  <si>
    <t>C613</t>
  </si>
  <si>
    <t>P613</t>
  </si>
  <si>
    <t>ORD 1614</t>
  </si>
  <si>
    <t>C614</t>
  </si>
  <si>
    <t>P614</t>
  </si>
  <si>
    <t>ORD 1615</t>
  </si>
  <si>
    <t>C615</t>
  </si>
  <si>
    <t>P615</t>
  </si>
  <si>
    <t>ORD 1616</t>
  </si>
  <si>
    <t>C616</t>
  </si>
  <si>
    <t>P616</t>
  </si>
  <si>
    <t>ORD 1617</t>
  </si>
  <si>
    <t>C617</t>
  </si>
  <si>
    <t>P617</t>
  </si>
  <si>
    <t>ORD 1618</t>
  </si>
  <si>
    <t>C618</t>
  </si>
  <si>
    <t>P618</t>
  </si>
  <si>
    <t>ORD 1619</t>
  </si>
  <si>
    <t>C619</t>
  </si>
  <si>
    <t>P619</t>
  </si>
  <si>
    <t>ORD 1620</t>
  </si>
  <si>
    <t>C620</t>
  </si>
  <si>
    <t>P620</t>
  </si>
  <si>
    <t>ORD 1621</t>
  </si>
  <si>
    <t>C621</t>
  </si>
  <si>
    <t>P621</t>
  </si>
  <si>
    <t>ORD 1622</t>
  </si>
  <si>
    <t>C622</t>
  </si>
  <si>
    <t>P622</t>
  </si>
  <si>
    <t>ORD 1623</t>
  </si>
  <si>
    <t>C623</t>
  </si>
  <si>
    <t>P623</t>
  </si>
  <si>
    <t>ORD 1624</t>
  </si>
  <si>
    <t>C624</t>
  </si>
  <si>
    <t>P624</t>
  </si>
  <si>
    <t>ORD 1625</t>
  </si>
  <si>
    <t>C625</t>
  </si>
  <si>
    <t>P625</t>
  </si>
  <si>
    <t>ORD 1626</t>
  </si>
  <si>
    <t>C626</t>
  </si>
  <si>
    <t>P626</t>
  </si>
  <si>
    <t>ORD 1627</t>
  </si>
  <si>
    <t>C627</t>
  </si>
  <si>
    <t>P627</t>
  </si>
  <si>
    <t>ORD 1628</t>
  </si>
  <si>
    <t>C628</t>
  </si>
  <si>
    <t>P628</t>
  </si>
  <si>
    <t>ORD 1629</t>
  </si>
  <si>
    <t>C629</t>
  </si>
  <si>
    <t>P629</t>
  </si>
  <si>
    <t>ORD 1630</t>
  </si>
  <si>
    <t>C630</t>
  </si>
  <si>
    <t>P630</t>
  </si>
  <si>
    <t>ORD 1631</t>
  </si>
  <si>
    <t>C631</t>
  </si>
  <si>
    <t>P631</t>
  </si>
  <si>
    <t>ORD 1632</t>
  </si>
  <si>
    <t>C632</t>
  </si>
  <si>
    <t>P632</t>
  </si>
  <si>
    <t>ORD 1633</t>
  </si>
  <si>
    <t>C633</t>
  </si>
  <si>
    <t>P633</t>
  </si>
  <si>
    <t>ORD 1634</t>
  </si>
  <si>
    <t>C634</t>
  </si>
  <si>
    <t>P634</t>
  </si>
  <si>
    <t>ORD 1635</t>
  </si>
  <si>
    <t>C635</t>
  </si>
  <si>
    <t>P635</t>
  </si>
  <si>
    <t>ORD 1636</t>
  </si>
  <si>
    <t>C636</t>
  </si>
  <si>
    <t>P636</t>
  </si>
  <si>
    <t>ORD 1637</t>
  </si>
  <si>
    <t>C637</t>
  </si>
  <si>
    <t>P637</t>
  </si>
  <si>
    <t>ORD 1638</t>
  </si>
  <si>
    <t>C638</t>
  </si>
  <si>
    <t>P638</t>
  </si>
  <si>
    <t>ORD 1639</t>
  </si>
  <si>
    <t>C639</t>
  </si>
  <si>
    <t>P639</t>
  </si>
  <si>
    <t>ORD 1640</t>
  </si>
  <si>
    <t>C640</t>
  </si>
  <si>
    <t>P640</t>
  </si>
  <si>
    <t>ORD 1641</t>
  </si>
  <si>
    <t>C641</t>
  </si>
  <si>
    <t>P641</t>
  </si>
  <si>
    <t>ORD 1642</t>
  </si>
  <si>
    <t>C642</t>
  </si>
  <si>
    <t>P642</t>
  </si>
  <si>
    <t>ORD 1643</t>
  </si>
  <si>
    <t>C643</t>
  </si>
  <si>
    <t>P643</t>
  </si>
  <si>
    <t>ORD 1644</t>
  </si>
  <si>
    <t>C644</t>
  </si>
  <si>
    <t>P644</t>
  </si>
  <si>
    <t>ORD 1645</t>
  </si>
  <si>
    <t>C645</t>
  </si>
  <si>
    <t>P645</t>
  </si>
  <si>
    <t>ORD 1646</t>
  </si>
  <si>
    <t>C646</t>
  </si>
  <si>
    <t>P646</t>
  </si>
  <si>
    <t>ORD 1647</t>
  </si>
  <si>
    <t>C647</t>
  </si>
  <si>
    <t>P647</t>
  </si>
  <si>
    <t>ORD 1648</t>
  </si>
  <si>
    <t>C648</t>
  </si>
  <si>
    <t>P648</t>
  </si>
  <si>
    <t>ORD 1649</t>
  </si>
  <si>
    <t>C649</t>
  </si>
  <si>
    <t>P649</t>
  </si>
  <si>
    <t>ORD 1650</t>
  </si>
  <si>
    <t>C650</t>
  </si>
  <si>
    <t>P650</t>
  </si>
  <si>
    <t>ORD 1651</t>
  </si>
  <si>
    <t>C651</t>
  </si>
  <si>
    <t>P651</t>
  </si>
  <si>
    <t>ORD 1652</t>
  </si>
  <si>
    <t>C652</t>
  </si>
  <si>
    <t>P652</t>
  </si>
  <si>
    <t>ORD 1653</t>
  </si>
  <si>
    <t>C653</t>
  </si>
  <si>
    <t>P653</t>
  </si>
  <si>
    <t>ORD 1654</t>
  </si>
  <si>
    <t>C654</t>
  </si>
  <si>
    <t>P654</t>
  </si>
  <si>
    <t>ORD 1655</t>
  </si>
  <si>
    <t>C655</t>
  </si>
  <si>
    <t>P655</t>
  </si>
  <si>
    <t>ORD 1656</t>
  </si>
  <si>
    <t>C656</t>
  </si>
  <si>
    <t>P656</t>
  </si>
  <si>
    <t>ORD 1657</t>
  </si>
  <si>
    <t>C657</t>
  </si>
  <si>
    <t>P657</t>
  </si>
  <si>
    <t>ORD 1658</t>
  </si>
  <si>
    <t>C658</t>
  </si>
  <si>
    <t>P658</t>
  </si>
  <si>
    <t>ORD 1659</t>
  </si>
  <si>
    <t>C659</t>
  </si>
  <si>
    <t>P659</t>
  </si>
  <si>
    <t>ORD 1660</t>
  </si>
  <si>
    <t>C660</t>
  </si>
  <si>
    <t>P660</t>
  </si>
  <si>
    <t>ORD 1661</t>
  </si>
  <si>
    <t>C661</t>
  </si>
  <si>
    <t>P661</t>
  </si>
  <si>
    <t>ORD 1662</t>
  </si>
  <si>
    <t>C662</t>
  </si>
  <si>
    <t>P662</t>
  </si>
  <si>
    <t>ORD 1663</t>
  </si>
  <si>
    <t>C663</t>
  </si>
  <si>
    <t>P663</t>
  </si>
  <si>
    <t>ORD 1664</t>
  </si>
  <si>
    <t>C664</t>
  </si>
  <si>
    <t>P664</t>
  </si>
  <si>
    <t>ORD 1665</t>
  </si>
  <si>
    <t>C665</t>
  </si>
  <si>
    <t>P665</t>
  </si>
  <si>
    <t>ORD 1666</t>
  </si>
  <si>
    <t>C666</t>
  </si>
  <si>
    <t>P666</t>
  </si>
  <si>
    <t>ORD 1667</t>
  </si>
  <si>
    <t>C667</t>
  </si>
  <si>
    <t>P667</t>
  </si>
  <si>
    <t>ORD 1668</t>
  </si>
  <si>
    <t>C668</t>
  </si>
  <si>
    <t>P668</t>
  </si>
  <si>
    <t>ORD 1669</t>
  </si>
  <si>
    <t>C669</t>
  </si>
  <si>
    <t>P669</t>
  </si>
  <si>
    <t>ORD 1670</t>
  </si>
  <si>
    <t>C670</t>
  </si>
  <si>
    <t>P670</t>
  </si>
  <si>
    <t>ORD 1671</t>
  </si>
  <si>
    <t>C671</t>
  </si>
  <si>
    <t>P671</t>
  </si>
  <si>
    <t>ORD 1672</t>
  </si>
  <si>
    <t>C672</t>
  </si>
  <si>
    <t>P672</t>
  </si>
  <si>
    <t>ORD 1673</t>
  </si>
  <si>
    <t>C673</t>
  </si>
  <si>
    <t>P673</t>
  </si>
  <si>
    <t>ORD 1674</t>
  </si>
  <si>
    <t>C674</t>
  </si>
  <si>
    <t>P674</t>
  </si>
  <si>
    <t>ORD 1675</t>
  </si>
  <si>
    <t>C675</t>
  </si>
  <si>
    <t>P675</t>
  </si>
  <si>
    <t>ORD 1676</t>
  </si>
  <si>
    <t>C676</t>
  </si>
  <si>
    <t>P676</t>
  </si>
  <si>
    <t>ORD 1677</t>
  </si>
  <si>
    <t>C677</t>
  </si>
  <si>
    <t>P677</t>
  </si>
  <si>
    <t>ORD 1678</t>
  </si>
  <si>
    <t>C678</t>
  </si>
  <si>
    <t>P678</t>
  </si>
  <si>
    <t>ORD 1679</t>
  </si>
  <si>
    <t>C679</t>
  </si>
  <si>
    <t>P679</t>
  </si>
  <si>
    <t>ORD 1680</t>
  </si>
  <si>
    <t>C680</t>
  </si>
  <si>
    <t>P680</t>
  </si>
  <si>
    <t>ORD 1681</t>
  </si>
  <si>
    <t>C681</t>
  </si>
  <si>
    <t>P681</t>
  </si>
  <si>
    <t>ORD 1682</t>
  </si>
  <si>
    <t>C682</t>
  </si>
  <si>
    <t>P682</t>
  </si>
  <si>
    <t>ORD 1683</t>
  </si>
  <si>
    <t>C683</t>
  </si>
  <si>
    <t>P683</t>
  </si>
  <si>
    <t>ORD 1684</t>
  </si>
  <si>
    <t>C684</t>
  </si>
  <si>
    <t>P684</t>
  </si>
  <si>
    <t>ORD 1685</t>
  </si>
  <si>
    <t>C685</t>
  </si>
  <si>
    <t>P685</t>
  </si>
  <si>
    <t>ORD 1686</t>
  </si>
  <si>
    <t>C686</t>
  </si>
  <si>
    <t>P686</t>
  </si>
  <si>
    <t>ORD 1687</t>
  </si>
  <si>
    <t>C687</t>
  </si>
  <si>
    <t>P687</t>
  </si>
  <si>
    <t>ORD 1688</t>
  </si>
  <si>
    <t>C688</t>
  </si>
  <si>
    <t>P688</t>
  </si>
  <si>
    <t>ORD 1689</t>
  </si>
  <si>
    <t>C689</t>
  </si>
  <si>
    <t>P689</t>
  </si>
  <si>
    <t>ORD 1690</t>
  </si>
  <si>
    <t>C690</t>
  </si>
  <si>
    <t>P690</t>
  </si>
  <si>
    <t>ORD 1691</t>
  </si>
  <si>
    <t>C691</t>
  </si>
  <si>
    <t>P691</t>
  </si>
  <si>
    <t>ORD 1692</t>
  </si>
  <si>
    <t>C692</t>
  </si>
  <si>
    <t>P692</t>
  </si>
  <si>
    <t>ORD 1693</t>
  </si>
  <si>
    <t>C693</t>
  </si>
  <si>
    <t>P693</t>
  </si>
  <si>
    <t>ORD 1694</t>
  </si>
  <si>
    <t>C694</t>
  </si>
  <si>
    <t>P694</t>
  </si>
  <si>
    <t>ORD 1695</t>
  </si>
  <si>
    <t>C695</t>
  </si>
  <si>
    <t>P695</t>
  </si>
  <si>
    <t>ORD 1696</t>
  </si>
  <si>
    <t>C696</t>
  </si>
  <si>
    <t>P696</t>
  </si>
  <si>
    <t>ORD 1697</t>
  </si>
  <si>
    <t>C697</t>
  </si>
  <si>
    <t>P697</t>
  </si>
  <si>
    <t>ORD 1698</t>
  </si>
  <si>
    <t>C698</t>
  </si>
  <si>
    <t>P698</t>
  </si>
  <si>
    <t>ORD 1699</t>
  </si>
  <si>
    <t>C699</t>
  </si>
  <si>
    <t>P699</t>
  </si>
  <si>
    <t>ORD 1700</t>
  </si>
  <si>
    <t>C700</t>
  </si>
  <si>
    <t>P700</t>
  </si>
  <si>
    <t>ORD 1701</t>
  </si>
  <si>
    <t>C701</t>
  </si>
  <si>
    <t>P701</t>
  </si>
  <si>
    <t>ORD 1702</t>
  </si>
  <si>
    <t>C702</t>
  </si>
  <si>
    <t>P702</t>
  </si>
  <si>
    <t>ORD 1703</t>
  </si>
  <si>
    <t>C703</t>
  </si>
  <si>
    <t>P703</t>
  </si>
  <si>
    <t>ORD 1704</t>
  </si>
  <si>
    <t>C704</t>
  </si>
  <si>
    <t>P704</t>
  </si>
  <si>
    <t>ORD 1705</t>
  </si>
  <si>
    <t>C705</t>
  </si>
  <si>
    <t>P705</t>
  </si>
  <si>
    <t>ORD 1706</t>
  </si>
  <si>
    <t>C706</t>
  </si>
  <si>
    <t>P706</t>
  </si>
  <si>
    <t>ORD 1707</t>
  </si>
  <si>
    <t>C707</t>
  </si>
  <si>
    <t>P707</t>
  </si>
  <si>
    <t>ORD 1708</t>
  </si>
  <si>
    <t>C708</t>
  </si>
  <si>
    <t>P708</t>
  </si>
  <si>
    <t>ORD 1709</t>
  </si>
  <si>
    <t>C709</t>
  </si>
  <si>
    <t>P709</t>
  </si>
  <si>
    <t>ORD 1710</t>
  </si>
  <si>
    <t>C710</t>
  </si>
  <si>
    <t>P710</t>
  </si>
  <si>
    <t>ORD 1711</t>
  </si>
  <si>
    <t>C711</t>
  </si>
  <si>
    <t>P711</t>
  </si>
  <si>
    <t>ORD 1712</t>
  </si>
  <si>
    <t>C712</t>
  </si>
  <si>
    <t>P712</t>
  </si>
  <si>
    <t>ORD 1713</t>
  </si>
  <si>
    <t>C713</t>
  </si>
  <si>
    <t>P713</t>
  </si>
  <si>
    <t>ORD 1714</t>
  </si>
  <si>
    <t>C714</t>
  </si>
  <si>
    <t>P714</t>
  </si>
  <si>
    <t>ORD 1715</t>
  </si>
  <si>
    <t>C715</t>
  </si>
  <si>
    <t>P715</t>
  </si>
  <si>
    <t>ORD 1716</t>
  </si>
  <si>
    <t>C716</t>
  </si>
  <si>
    <t>P716</t>
  </si>
  <si>
    <t>ORD 1717</t>
  </si>
  <si>
    <t>C717</t>
  </si>
  <si>
    <t>P717</t>
  </si>
  <si>
    <t>ORD 1718</t>
  </si>
  <si>
    <t>C718</t>
  </si>
  <si>
    <t>P718</t>
  </si>
  <si>
    <t>ORD 1719</t>
  </si>
  <si>
    <t>C719</t>
  </si>
  <si>
    <t>P719</t>
  </si>
  <si>
    <t>ORD 1720</t>
  </si>
  <si>
    <t>C720</t>
  </si>
  <si>
    <t>P720</t>
  </si>
  <si>
    <t>ORD 1721</t>
  </si>
  <si>
    <t>C721</t>
  </si>
  <si>
    <t>P721</t>
  </si>
  <si>
    <t>ORD 1722</t>
  </si>
  <si>
    <t>C722</t>
  </si>
  <si>
    <t>P722</t>
  </si>
  <si>
    <t>ORD 1723</t>
  </si>
  <si>
    <t>C723</t>
  </si>
  <si>
    <t>P723</t>
  </si>
  <si>
    <t>ORD 1724</t>
  </si>
  <si>
    <t>C724</t>
  </si>
  <si>
    <t>P724</t>
  </si>
  <si>
    <t>ORD 1725</t>
  </si>
  <si>
    <t>C725</t>
  </si>
  <si>
    <t>P725</t>
  </si>
  <si>
    <t>ORD 1726</t>
  </si>
  <si>
    <t>C726</t>
  </si>
  <si>
    <t>P726</t>
  </si>
  <si>
    <t>ORD 1727</t>
  </si>
  <si>
    <t>C727</t>
  </si>
  <si>
    <t>P727</t>
  </si>
  <si>
    <t>ORD 1728</t>
  </si>
  <si>
    <t>C728</t>
  </si>
  <si>
    <t>P728</t>
  </si>
  <si>
    <t>ORD 1729</t>
  </si>
  <si>
    <t>C729</t>
  </si>
  <si>
    <t>P729</t>
  </si>
  <si>
    <t>ORD 1730</t>
  </si>
  <si>
    <t>C730</t>
  </si>
  <si>
    <t>P730</t>
  </si>
  <si>
    <t>ORD 1731</t>
  </si>
  <si>
    <t>C731</t>
  </si>
  <si>
    <t>P731</t>
  </si>
  <si>
    <t>ORD 1732</t>
  </si>
  <si>
    <t>C732</t>
  </si>
  <si>
    <t>P732</t>
  </si>
  <si>
    <t>ORD 1733</t>
  </si>
  <si>
    <t>C733</t>
  </si>
  <si>
    <t>P733</t>
  </si>
  <si>
    <t>ORD 1734</t>
  </si>
  <si>
    <t>C734</t>
  </si>
  <si>
    <t>P734</t>
  </si>
  <si>
    <t>ORD 1735</t>
  </si>
  <si>
    <t>C735</t>
  </si>
  <si>
    <t>P735</t>
  </si>
  <si>
    <t>ORD 1736</t>
  </si>
  <si>
    <t>C736</t>
  </si>
  <si>
    <t>P736</t>
  </si>
  <si>
    <t>ORD 1737</t>
  </si>
  <si>
    <t>C737</t>
  </si>
  <si>
    <t>P737</t>
  </si>
  <si>
    <t>ORD 1738</t>
  </si>
  <si>
    <t>C738</t>
  </si>
  <si>
    <t>P738</t>
  </si>
  <si>
    <t>ORD 1739</t>
  </si>
  <si>
    <t>C739</t>
  </si>
  <si>
    <t>P739</t>
  </si>
  <si>
    <t>ORD 1740</t>
  </si>
  <si>
    <t>C740</t>
  </si>
  <si>
    <t>P740</t>
  </si>
  <si>
    <t>ORD 1741</t>
  </si>
  <si>
    <t>C741</t>
  </si>
  <si>
    <t>P741</t>
  </si>
  <si>
    <t>ORD 1742</t>
  </si>
  <si>
    <t>C742</t>
  </si>
  <si>
    <t>P742</t>
  </si>
  <si>
    <t>ORD 1743</t>
  </si>
  <si>
    <t>C743</t>
  </si>
  <si>
    <t>P743</t>
  </si>
  <si>
    <t>ORD 1744</t>
  </si>
  <si>
    <t>C744</t>
  </si>
  <si>
    <t>P744</t>
  </si>
  <si>
    <t>ORD 1745</t>
  </si>
  <si>
    <t>C745</t>
  </si>
  <si>
    <t>P745</t>
  </si>
  <si>
    <t>ORD 1746</t>
  </si>
  <si>
    <t>C746</t>
  </si>
  <si>
    <t>P746</t>
  </si>
  <si>
    <t>ORD 1747</t>
  </si>
  <si>
    <t>C747</t>
  </si>
  <si>
    <t>P747</t>
  </si>
  <si>
    <t>ORD 1748</t>
  </si>
  <si>
    <t>C748</t>
  </si>
  <si>
    <t>P748</t>
  </si>
  <si>
    <t>ORD 1749</t>
  </si>
  <si>
    <t>C749</t>
  </si>
  <si>
    <t>P749</t>
  </si>
  <si>
    <t>ORD 1750</t>
  </si>
  <si>
    <t>C750</t>
  </si>
  <si>
    <t>P750</t>
  </si>
  <si>
    <t>ORD 1751</t>
  </si>
  <si>
    <t>C751</t>
  </si>
  <si>
    <t>P751</t>
  </si>
  <si>
    <t>ORD 1752</t>
  </si>
  <si>
    <t>C752</t>
  </si>
  <si>
    <t>P752</t>
  </si>
  <si>
    <t>ORD 1753</t>
  </si>
  <si>
    <t>C753</t>
  </si>
  <si>
    <t>P753</t>
  </si>
  <si>
    <t>ORD 1754</t>
  </si>
  <si>
    <t>C754</t>
  </si>
  <si>
    <t>P754</t>
  </si>
  <si>
    <t>ORD 1755</t>
  </si>
  <si>
    <t>C755</t>
  </si>
  <si>
    <t>P755</t>
  </si>
  <si>
    <t>ORD 1756</t>
  </si>
  <si>
    <t>C756</t>
  </si>
  <si>
    <t>P756</t>
  </si>
  <si>
    <t>ORD 1757</t>
  </si>
  <si>
    <t>C757</t>
  </si>
  <si>
    <t>P757</t>
  </si>
  <si>
    <t>ORD 1758</t>
  </si>
  <si>
    <t>C758</t>
  </si>
  <si>
    <t>P758</t>
  </si>
  <si>
    <t>ORD 1759</t>
  </si>
  <si>
    <t>C759</t>
  </si>
  <si>
    <t>P759</t>
  </si>
  <si>
    <t>ORD 1760</t>
  </si>
  <si>
    <t>C760</t>
  </si>
  <si>
    <t>P760</t>
  </si>
  <si>
    <t>ORD 1761</t>
  </si>
  <si>
    <t>C761</t>
  </si>
  <si>
    <t>P761</t>
  </si>
  <si>
    <t>ORD 1762</t>
  </si>
  <si>
    <t>C762</t>
  </si>
  <si>
    <t>P762</t>
  </si>
  <si>
    <t>ORD 1763</t>
  </si>
  <si>
    <t>C763</t>
  </si>
  <si>
    <t>P763</t>
  </si>
  <si>
    <t>ORD 1764</t>
  </si>
  <si>
    <t>C764</t>
  </si>
  <si>
    <t>P764</t>
  </si>
  <si>
    <t>ORD 1765</t>
  </si>
  <si>
    <t>C765</t>
  </si>
  <si>
    <t>P765</t>
  </si>
  <si>
    <t>ORD 1766</t>
  </si>
  <si>
    <t>C766</t>
  </si>
  <si>
    <t>P766</t>
  </si>
  <si>
    <t>ORD 1767</t>
  </si>
  <si>
    <t>C767</t>
  </si>
  <si>
    <t>P767</t>
  </si>
  <si>
    <t>ORD 1768</t>
  </si>
  <si>
    <t>C768</t>
  </si>
  <si>
    <t>P768</t>
  </si>
  <si>
    <t>ORD 1769</t>
  </si>
  <si>
    <t>C769</t>
  </si>
  <si>
    <t>P769</t>
  </si>
  <si>
    <t>ORD 1770</t>
  </si>
  <si>
    <t>C770</t>
  </si>
  <si>
    <t>P770</t>
  </si>
  <si>
    <t>ORD 1771</t>
  </si>
  <si>
    <t>C771</t>
  </si>
  <si>
    <t>P771</t>
  </si>
  <si>
    <t>ORD 1772</t>
  </si>
  <si>
    <t>C772</t>
  </si>
  <si>
    <t>P772</t>
  </si>
  <si>
    <t>ORD 1773</t>
  </si>
  <si>
    <t>C773</t>
  </si>
  <si>
    <t>P773</t>
  </si>
  <si>
    <t>ORD 1774</t>
  </si>
  <si>
    <t>C774</t>
  </si>
  <si>
    <t>P774</t>
  </si>
  <si>
    <t>ORD 1775</t>
  </si>
  <si>
    <t>C775</t>
  </si>
  <si>
    <t>P775</t>
  </si>
  <si>
    <t>ORD 1776</t>
  </si>
  <si>
    <t>C776</t>
  </si>
  <si>
    <t>P776</t>
  </si>
  <si>
    <t>ORD 1777</t>
  </si>
  <si>
    <t>C777</t>
  </si>
  <si>
    <t>P777</t>
  </si>
  <si>
    <t>ORD 1778</t>
  </si>
  <si>
    <t>C778</t>
  </si>
  <si>
    <t>P778</t>
  </si>
  <si>
    <t>ORD 1779</t>
  </si>
  <si>
    <t>C779</t>
  </si>
  <si>
    <t>P779</t>
  </si>
  <si>
    <t>ORD 1780</t>
  </si>
  <si>
    <t>C780</t>
  </si>
  <si>
    <t>P780</t>
  </si>
  <si>
    <t>ORD 1781</t>
  </si>
  <si>
    <t>C781</t>
  </si>
  <si>
    <t>P781</t>
  </si>
  <si>
    <t>ORD 1782</t>
  </si>
  <si>
    <t>C782</t>
  </si>
  <si>
    <t>P782</t>
  </si>
  <si>
    <t>ORD 1783</t>
  </si>
  <si>
    <t>C783</t>
  </si>
  <si>
    <t>P783</t>
  </si>
  <si>
    <t>ORD 1784</t>
  </si>
  <si>
    <t>C784</t>
  </si>
  <si>
    <t>P784</t>
  </si>
  <si>
    <t>ORD 1785</t>
  </si>
  <si>
    <t>C785</t>
  </si>
  <si>
    <t>P785</t>
  </si>
  <si>
    <t>ORD 1786</t>
  </si>
  <si>
    <t>C786</t>
  </si>
  <si>
    <t>P786</t>
  </si>
  <si>
    <t>ORD 1787</t>
  </si>
  <si>
    <t>C787</t>
  </si>
  <si>
    <t>P787</t>
  </si>
  <si>
    <t>ORD 1788</t>
  </si>
  <si>
    <t>C788</t>
  </si>
  <si>
    <t>P788</t>
  </si>
  <si>
    <t>ORD 1789</t>
  </si>
  <si>
    <t>C789</t>
  </si>
  <si>
    <t>P789</t>
  </si>
  <si>
    <t>ORD 1790</t>
  </si>
  <si>
    <t>C790</t>
  </si>
  <si>
    <t>P790</t>
  </si>
  <si>
    <t>ORD 1791</t>
  </si>
  <si>
    <t>C791</t>
  </si>
  <si>
    <t>P791</t>
  </si>
  <si>
    <t>ORD 1792</t>
  </si>
  <si>
    <t>C792</t>
  </si>
  <si>
    <t>P792</t>
  </si>
  <si>
    <t>ORD 1793</t>
  </si>
  <si>
    <t>C793</t>
  </si>
  <si>
    <t>P793</t>
  </si>
  <si>
    <t>ORD 1794</t>
  </si>
  <si>
    <t>C794</t>
  </si>
  <si>
    <t>P794</t>
  </si>
  <si>
    <t>ORD 1795</t>
  </si>
  <si>
    <t>C795</t>
  </si>
  <si>
    <t>P795</t>
  </si>
  <si>
    <t>ORD 1796</t>
  </si>
  <si>
    <t>C796</t>
  </si>
  <si>
    <t>P796</t>
  </si>
  <si>
    <t>ORD 1797</t>
  </si>
  <si>
    <t>C797</t>
  </si>
  <si>
    <t>P797</t>
  </si>
  <si>
    <t>ORD 1798</t>
  </si>
  <si>
    <t>C798</t>
  </si>
  <si>
    <t>P798</t>
  </si>
  <si>
    <t>ORD 1799</t>
  </si>
  <si>
    <t>C799</t>
  </si>
  <si>
    <t>P799</t>
  </si>
  <si>
    <t>ORD 1800</t>
  </si>
  <si>
    <t>C800</t>
  </si>
  <si>
    <t>P800</t>
  </si>
  <si>
    <t>ORD 1801</t>
  </si>
  <si>
    <t>C801</t>
  </si>
  <si>
    <t>P801</t>
  </si>
  <si>
    <t>ORD 1802</t>
  </si>
  <si>
    <t>C802</t>
  </si>
  <si>
    <t>P802</t>
  </si>
  <si>
    <t>ORD 1803</t>
  </si>
  <si>
    <t>C803</t>
  </si>
  <si>
    <t>P803</t>
  </si>
  <si>
    <t>ORD 1804</t>
  </si>
  <si>
    <t>C804</t>
  </si>
  <si>
    <t>P804</t>
  </si>
  <si>
    <t>ORD 1805</t>
  </si>
  <si>
    <t>C805</t>
  </si>
  <si>
    <t>P805</t>
  </si>
  <si>
    <t>ORD 1806</t>
  </si>
  <si>
    <t>C806</t>
  </si>
  <si>
    <t>P806</t>
  </si>
  <si>
    <t>ORD 1807</t>
  </si>
  <si>
    <t>C807</t>
  </si>
  <si>
    <t>P807</t>
  </si>
  <si>
    <t>ORD 1808</t>
  </si>
  <si>
    <t>C808</t>
  </si>
  <si>
    <t>P808</t>
  </si>
  <si>
    <t>ORD 1809</t>
  </si>
  <si>
    <t>C809</t>
  </si>
  <si>
    <t>P809</t>
  </si>
  <si>
    <t>ORD 1810</t>
  </si>
  <si>
    <t>C810</t>
  </si>
  <si>
    <t>P810</t>
  </si>
  <si>
    <t>ORD 1811</t>
  </si>
  <si>
    <t>C811</t>
  </si>
  <si>
    <t>P811</t>
  </si>
  <si>
    <t>ORD 1812</t>
  </si>
  <si>
    <t>C812</t>
  </si>
  <si>
    <t>P812</t>
  </si>
  <si>
    <t>ORD 1813</t>
  </si>
  <si>
    <t>C813</t>
  </si>
  <si>
    <t>P813</t>
  </si>
  <si>
    <t>ORD 1814</t>
  </si>
  <si>
    <t>C814</t>
  </si>
  <si>
    <t>P814</t>
  </si>
  <si>
    <t>ORD 1815</t>
  </si>
  <si>
    <t>C815</t>
  </si>
  <si>
    <t>P815</t>
  </si>
  <si>
    <t>ORD 1816</t>
  </si>
  <si>
    <t>C816</t>
  </si>
  <si>
    <t>P816</t>
  </si>
  <si>
    <t>ORD 1817</t>
  </si>
  <si>
    <t>C817</t>
  </si>
  <si>
    <t>P817</t>
  </si>
  <si>
    <t>ORD 1818</t>
  </si>
  <si>
    <t>C818</t>
  </si>
  <si>
    <t>P818</t>
  </si>
  <si>
    <t>ORD 1819</t>
  </si>
  <si>
    <t>C819</t>
  </si>
  <si>
    <t>P819</t>
  </si>
  <si>
    <t>ORD 1820</t>
  </si>
  <si>
    <t>C820</t>
  </si>
  <si>
    <t>P820</t>
  </si>
  <si>
    <t>ORD 1821</t>
  </si>
  <si>
    <t>C821</t>
  </si>
  <si>
    <t>P821</t>
  </si>
  <si>
    <t>ORD 1822</t>
  </si>
  <si>
    <t>C822</t>
  </si>
  <si>
    <t>P822</t>
  </si>
  <si>
    <t>ORD 1823</t>
  </si>
  <si>
    <t>C823</t>
  </si>
  <si>
    <t>P823</t>
  </si>
  <si>
    <t>ORD 1824</t>
  </si>
  <si>
    <t>C824</t>
  </si>
  <si>
    <t>P824</t>
  </si>
  <si>
    <t>ORD 1825</t>
  </si>
  <si>
    <t>C825</t>
  </si>
  <si>
    <t>P825</t>
  </si>
  <si>
    <t>ORD 1826</t>
  </si>
  <si>
    <t>C826</t>
  </si>
  <si>
    <t>P826</t>
  </si>
  <si>
    <t>ORD 1827</t>
  </si>
  <si>
    <t>C827</t>
  </si>
  <si>
    <t>P827</t>
  </si>
  <si>
    <t>ORD 1828</t>
  </si>
  <si>
    <t>C828</t>
  </si>
  <si>
    <t>P828</t>
  </si>
  <si>
    <t>ORD 1829</t>
  </si>
  <si>
    <t>C829</t>
  </si>
  <si>
    <t>P829</t>
  </si>
  <si>
    <t>ORD 1830</t>
  </si>
  <si>
    <t>C830</t>
  </si>
  <si>
    <t>P830</t>
  </si>
  <si>
    <t>ORD 1831</t>
  </si>
  <si>
    <t>C831</t>
  </si>
  <si>
    <t>P831</t>
  </si>
  <si>
    <t>ORD 1832</t>
  </si>
  <si>
    <t>C832</t>
  </si>
  <si>
    <t>P832</t>
  </si>
  <si>
    <t>ORD 1833</t>
  </si>
  <si>
    <t>C833</t>
  </si>
  <si>
    <t>P833</t>
  </si>
  <si>
    <t>ORD 1834</t>
  </si>
  <si>
    <t>C834</t>
  </si>
  <si>
    <t>P834</t>
  </si>
  <si>
    <t>ORD 1835</t>
  </si>
  <si>
    <t>C835</t>
  </si>
  <si>
    <t>P835</t>
  </si>
  <si>
    <t>ORD 1836</t>
  </si>
  <si>
    <t>C836</t>
  </si>
  <si>
    <t>P836</t>
  </si>
  <si>
    <t>ORD 1837</t>
  </si>
  <si>
    <t>C837</t>
  </si>
  <si>
    <t>P837</t>
  </si>
  <si>
    <t>ORD 1838</t>
  </si>
  <si>
    <t>C838</t>
  </si>
  <si>
    <t>P838</t>
  </si>
  <si>
    <t>ORD 1839</t>
  </si>
  <si>
    <t>C839</t>
  </si>
  <si>
    <t>P839</t>
  </si>
  <si>
    <t>ORD 1840</t>
  </si>
  <si>
    <t>C840</t>
  </si>
  <si>
    <t>P840</t>
  </si>
  <si>
    <t>ORD 1841</t>
  </si>
  <si>
    <t>C841</t>
  </si>
  <si>
    <t>P841</t>
  </si>
  <si>
    <t>ORD 1842</t>
  </si>
  <si>
    <t>C842</t>
  </si>
  <si>
    <t>P842</t>
  </si>
  <si>
    <t>ORD 1843</t>
  </si>
  <si>
    <t>C843</t>
  </si>
  <si>
    <t>P843</t>
  </si>
  <si>
    <t>ORD 1844</t>
  </si>
  <si>
    <t>C844</t>
  </si>
  <si>
    <t>P844</t>
  </si>
  <si>
    <t>ORD 1845</t>
  </si>
  <si>
    <t>C845</t>
  </si>
  <si>
    <t>P845</t>
  </si>
  <si>
    <t>ORD 1846</t>
  </si>
  <si>
    <t>C846</t>
  </si>
  <si>
    <t>P846</t>
  </si>
  <si>
    <t>ORD 1847</t>
  </si>
  <si>
    <t>C847</t>
  </si>
  <si>
    <t>P847</t>
  </si>
  <si>
    <t>ORD 1848</t>
  </si>
  <si>
    <t>C848</t>
  </si>
  <si>
    <t>P848</t>
  </si>
  <si>
    <t>ORD 1849</t>
  </si>
  <si>
    <t>C849</t>
  </si>
  <si>
    <t>P849</t>
  </si>
  <si>
    <t>ORD 1850</t>
  </si>
  <si>
    <t>C850</t>
  </si>
  <si>
    <t>P850</t>
  </si>
  <si>
    <t>ORD 1851</t>
  </si>
  <si>
    <t>C851</t>
  </si>
  <si>
    <t>P851</t>
  </si>
  <si>
    <t>ORD 1852</t>
  </si>
  <si>
    <t>C852</t>
  </si>
  <si>
    <t>P852</t>
  </si>
  <si>
    <t>ORD 1853</t>
  </si>
  <si>
    <t>C853</t>
  </si>
  <si>
    <t>P853</t>
  </si>
  <si>
    <t>ORD 1854</t>
  </si>
  <si>
    <t>C854</t>
  </si>
  <si>
    <t>P854</t>
  </si>
  <si>
    <t>ORD 1855</t>
  </si>
  <si>
    <t>C855</t>
  </si>
  <si>
    <t>P855</t>
  </si>
  <si>
    <t>ORD 1856</t>
  </si>
  <si>
    <t>C856</t>
  </si>
  <si>
    <t>P856</t>
  </si>
  <si>
    <t>ORD 1857</t>
  </si>
  <si>
    <t>C857</t>
  </si>
  <si>
    <t>P857</t>
  </si>
  <si>
    <t>ORD 1858</t>
  </si>
  <si>
    <t>C858</t>
  </si>
  <si>
    <t>P858</t>
  </si>
  <si>
    <t>ORD 1859</t>
  </si>
  <si>
    <t>C859</t>
  </si>
  <si>
    <t>P859</t>
  </si>
  <si>
    <t>ORD 1860</t>
  </si>
  <si>
    <t>C860</t>
  </si>
  <si>
    <t>P860</t>
  </si>
  <si>
    <t>ORD 1861</t>
  </si>
  <si>
    <t>C861</t>
  </si>
  <si>
    <t>P861</t>
  </si>
  <si>
    <t>ORD 1862</t>
  </si>
  <si>
    <t>C862</t>
  </si>
  <si>
    <t>P862</t>
  </si>
  <si>
    <t>ORD 1863</t>
  </si>
  <si>
    <t>C863</t>
  </si>
  <si>
    <t>P863</t>
  </si>
  <si>
    <t>ORD 1864</t>
  </si>
  <si>
    <t>C864</t>
  </si>
  <si>
    <t>P864</t>
  </si>
  <si>
    <t>ORD 1865</t>
  </si>
  <si>
    <t>C865</t>
  </si>
  <si>
    <t>P865</t>
  </si>
  <si>
    <t>ORD 1866</t>
  </si>
  <si>
    <t>C866</t>
  </si>
  <si>
    <t>P866</t>
  </si>
  <si>
    <t>ORD 1867</t>
  </si>
  <si>
    <t>C867</t>
  </si>
  <si>
    <t>P867</t>
  </si>
  <si>
    <t>ORD 1868</t>
  </si>
  <si>
    <t>C868</t>
  </si>
  <si>
    <t>P868</t>
  </si>
  <si>
    <t>ORD 1869</t>
  </si>
  <si>
    <t>C869</t>
  </si>
  <si>
    <t>P869</t>
  </si>
  <si>
    <t>ORD 1870</t>
  </si>
  <si>
    <t>C870</t>
  </si>
  <si>
    <t>P870</t>
  </si>
  <si>
    <t>ORD 1871</t>
  </si>
  <si>
    <t>C871</t>
  </si>
  <si>
    <t>P871</t>
  </si>
  <si>
    <t>ORD 1872</t>
  </si>
  <si>
    <t>C872</t>
  </si>
  <si>
    <t>P872</t>
  </si>
  <si>
    <t>ORD 1873</t>
  </si>
  <si>
    <t>C873</t>
  </si>
  <si>
    <t>P873</t>
  </si>
  <si>
    <t>ORD 1874</t>
  </si>
  <si>
    <t>C874</t>
  </si>
  <si>
    <t>P874</t>
  </si>
  <si>
    <t>ORD 1875</t>
  </si>
  <si>
    <t>C875</t>
  </si>
  <si>
    <t>P875</t>
  </si>
  <si>
    <t>ORD 1876</t>
  </si>
  <si>
    <t>C876</t>
  </si>
  <si>
    <t>P876</t>
  </si>
  <si>
    <t>ORD 1877</t>
  </si>
  <si>
    <t>C877</t>
  </si>
  <si>
    <t>P877</t>
  </si>
  <si>
    <t>ORD 1878</t>
  </si>
  <si>
    <t>C878</t>
  </si>
  <si>
    <t>P878</t>
  </si>
  <si>
    <t>ORD 1879</t>
  </si>
  <si>
    <t>C879</t>
  </si>
  <si>
    <t>P879</t>
  </si>
  <si>
    <t>ORD 1880</t>
  </si>
  <si>
    <t>C880</t>
  </si>
  <si>
    <t>P880</t>
  </si>
  <si>
    <t>ORD 1881</t>
  </si>
  <si>
    <t>C881</t>
  </si>
  <si>
    <t>P881</t>
  </si>
  <si>
    <t>ORD 1882</t>
  </si>
  <si>
    <t>C882</t>
  </si>
  <si>
    <t>P882</t>
  </si>
  <si>
    <t>ORD 1883</t>
  </si>
  <si>
    <t>C883</t>
  </si>
  <si>
    <t>P883</t>
  </si>
  <si>
    <t>ORD 1884</t>
  </si>
  <si>
    <t>C884</t>
  </si>
  <si>
    <t>P884</t>
  </si>
  <si>
    <t>ORD 1885</t>
  </si>
  <si>
    <t>C885</t>
  </si>
  <si>
    <t>P885</t>
  </si>
  <si>
    <t>ORD 1886</t>
  </si>
  <si>
    <t>C886</t>
  </si>
  <si>
    <t>P886</t>
  </si>
  <si>
    <t>ORD 1887</t>
  </si>
  <si>
    <t>C887</t>
  </si>
  <si>
    <t>P887</t>
  </si>
  <si>
    <t>ORD 1888</t>
  </si>
  <si>
    <t>C888</t>
  </si>
  <si>
    <t>P888</t>
  </si>
  <si>
    <t>ORD 1889</t>
  </si>
  <si>
    <t>C889</t>
  </si>
  <si>
    <t>P889</t>
  </si>
  <si>
    <t>ORD 1890</t>
  </si>
  <si>
    <t>C890</t>
  </si>
  <si>
    <t>P890</t>
  </si>
  <si>
    <t>ORD 1891</t>
  </si>
  <si>
    <t>C891</t>
  </si>
  <si>
    <t>P891</t>
  </si>
  <si>
    <t>ORD 1892</t>
  </si>
  <si>
    <t>C892</t>
  </si>
  <si>
    <t>P892</t>
  </si>
  <si>
    <t>ORD 1893</t>
  </si>
  <si>
    <t>C893</t>
  </si>
  <si>
    <t>P893</t>
  </si>
  <si>
    <t>ORD 1894</t>
  </si>
  <si>
    <t>C894</t>
  </si>
  <si>
    <t>P894</t>
  </si>
  <si>
    <t>ORD 1895</t>
  </si>
  <si>
    <t>C895</t>
  </si>
  <si>
    <t>P895</t>
  </si>
  <si>
    <t>ORD 1896</t>
  </si>
  <si>
    <t>C896</t>
  </si>
  <si>
    <t>P896</t>
  </si>
  <si>
    <t>ORD 1897</t>
  </si>
  <si>
    <t>C897</t>
  </si>
  <si>
    <t>P897</t>
  </si>
  <si>
    <t>ORD 1898</t>
  </si>
  <si>
    <t>C898</t>
  </si>
  <si>
    <t>P898</t>
  </si>
  <si>
    <t>ORD 1899</t>
  </si>
  <si>
    <t>C899</t>
  </si>
  <si>
    <t>P899</t>
  </si>
  <si>
    <t>ORD 1900</t>
  </si>
  <si>
    <t>C900</t>
  </si>
  <si>
    <t>P900</t>
  </si>
  <si>
    <t>ORD 1901</t>
  </si>
  <si>
    <t>C901</t>
  </si>
  <si>
    <t>E-COMMERCE DASHBOARD</t>
  </si>
  <si>
    <t>P901</t>
  </si>
  <si>
    <t>ORD 1902</t>
  </si>
  <si>
    <t>C902</t>
  </si>
  <si>
    <t>P902</t>
  </si>
  <si>
    <t>ORD 1903</t>
  </si>
  <si>
    <t>C903</t>
  </si>
  <si>
    <t>P903</t>
  </si>
  <si>
    <t>ORD 1904</t>
  </si>
  <si>
    <t>C904</t>
  </si>
  <si>
    <t>P904</t>
  </si>
  <si>
    <t>ORD 1905</t>
  </si>
  <si>
    <t>C905</t>
  </si>
  <si>
    <t>P905</t>
  </si>
  <si>
    <t>ORD 1906</t>
  </si>
  <si>
    <t>C906</t>
  </si>
  <si>
    <t>P906</t>
  </si>
  <si>
    <t>ORD 1907</t>
  </si>
  <si>
    <t>C907</t>
  </si>
  <si>
    <t>P907</t>
  </si>
  <si>
    <t>ORD 1908</t>
  </si>
  <si>
    <t>C908</t>
  </si>
  <si>
    <t>P908</t>
  </si>
  <si>
    <t>ORD 1909</t>
  </si>
  <si>
    <t>C909</t>
  </si>
  <si>
    <t>P909</t>
  </si>
  <si>
    <t>ORD 1910</t>
  </si>
  <si>
    <t>C910</t>
  </si>
  <si>
    <t>P910</t>
  </si>
  <si>
    <t>ORD 1911</t>
  </si>
  <si>
    <t>C911</t>
  </si>
  <si>
    <t>P911</t>
  </si>
  <si>
    <t>ORD 1912</t>
  </si>
  <si>
    <t>C912</t>
  </si>
  <si>
    <t>P912</t>
  </si>
  <si>
    <t>ORD 1913</t>
  </si>
  <si>
    <t>C913</t>
  </si>
  <si>
    <t>P913</t>
  </si>
  <si>
    <t>ORD 1914</t>
  </si>
  <si>
    <t>C914</t>
  </si>
  <si>
    <t>P914</t>
  </si>
  <si>
    <t>ORD 1915</t>
  </si>
  <si>
    <t>C915</t>
  </si>
  <si>
    <t>P915</t>
  </si>
  <si>
    <t>ORD 1916</t>
  </si>
  <si>
    <t>C916</t>
  </si>
  <si>
    <t>P916</t>
  </si>
  <si>
    <t>ORD 1917</t>
  </si>
  <si>
    <t>C917</t>
  </si>
  <si>
    <t>P917</t>
  </si>
  <si>
    <t>ORD 1918</t>
  </si>
  <si>
    <t>C918</t>
  </si>
  <si>
    <t>P918</t>
  </si>
  <si>
    <t>ORD 1919</t>
  </si>
  <si>
    <t>C919</t>
  </si>
  <si>
    <t>P919</t>
  </si>
  <si>
    <t>ORD 1920</t>
  </si>
  <si>
    <t>C920</t>
  </si>
  <si>
    <t>P920</t>
  </si>
  <si>
    <t>ORD 1921</t>
  </si>
  <si>
    <t>C921</t>
  </si>
  <si>
    <t>P921</t>
  </si>
  <si>
    <t>ORD 1922</t>
  </si>
  <si>
    <t>C922</t>
  </si>
  <si>
    <t>P922</t>
  </si>
  <si>
    <t>ORD 1923</t>
  </si>
  <si>
    <t>C923</t>
  </si>
  <si>
    <t>P923</t>
  </si>
  <si>
    <t>ORD 1924</t>
  </si>
  <si>
    <t>C924</t>
  </si>
  <si>
    <t>P924</t>
  </si>
  <si>
    <t>ORD 1925</t>
  </si>
  <si>
    <t>C925</t>
  </si>
  <si>
    <t>P925</t>
  </si>
  <si>
    <t>ORD 1926</t>
  </si>
  <si>
    <t>C926</t>
  </si>
  <si>
    <t>P926</t>
  </si>
  <si>
    <t>ORD 1927</t>
  </si>
  <si>
    <t>C927</t>
  </si>
  <si>
    <t>P927</t>
  </si>
  <si>
    <t>ORD 1928</t>
  </si>
  <si>
    <t>C928</t>
  </si>
  <si>
    <t>P928</t>
  </si>
  <si>
    <t>ORD 1929</t>
  </si>
  <si>
    <t>C929</t>
  </si>
  <si>
    <t>P929</t>
  </si>
  <si>
    <t>ORD 1930</t>
  </si>
  <si>
    <t>C930</t>
  </si>
  <si>
    <t>P930</t>
  </si>
  <si>
    <t>ORD 1931</t>
  </si>
  <si>
    <t>C931</t>
  </si>
  <si>
    <t>P931</t>
  </si>
  <si>
    <t>ORD 1932</t>
  </si>
  <si>
    <t>C932</t>
  </si>
  <si>
    <t>P932</t>
  </si>
  <si>
    <t>ORD 1933</t>
  </si>
  <si>
    <t>C933</t>
  </si>
  <si>
    <t>P933</t>
  </si>
  <si>
    <t>ORD 1934</t>
  </si>
  <si>
    <t>C934</t>
  </si>
  <si>
    <t>P934</t>
  </si>
  <si>
    <t>ORD 1935</t>
  </si>
  <si>
    <t>C935</t>
  </si>
  <si>
    <t>P935</t>
  </si>
  <si>
    <t>ORD 1936</t>
  </si>
  <si>
    <t>C936</t>
  </si>
  <si>
    <t>P936</t>
  </si>
  <si>
    <t>ORD 1937</t>
  </si>
  <si>
    <t>C937</t>
  </si>
  <si>
    <t>P937</t>
  </si>
  <si>
    <t>ORD 1938</t>
  </si>
  <si>
    <t>C938</t>
  </si>
  <si>
    <t>P938</t>
  </si>
  <si>
    <t>ORD 1939</t>
  </si>
  <si>
    <t>C939</t>
  </si>
  <si>
    <t>P939</t>
  </si>
  <si>
    <t>ORD 1940</t>
  </si>
  <si>
    <t>C940</t>
  </si>
  <si>
    <t>P940</t>
  </si>
  <si>
    <t>ORD 1941</t>
  </si>
  <si>
    <t>C941</t>
  </si>
  <si>
    <t>P941</t>
  </si>
  <si>
    <t>ORD 1942</t>
  </si>
  <si>
    <t>C942</t>
  </si>
  <si>
    <t>P942</t>
  </si>
  <si>
    <t>ORD 1943</t>
  </si>
  <si>
    <t>C943</t>
  </si>
  <si>
    <t>P943</t>
  </si>
  <si>
    <t>ORD 1944</t>
  </si>
  <si>
    <t>C944</t>
  </si>
  <si>
    <t>P944</t>
  </si>
  <si>
    <t>ORD 1945</t>
  </si>
  <si>
    <t>C945</t>
  </si>
  <si>
    <t>P945</t>
  </si>
  <si>
    <t>ORD 1946</t>
  </si>
  <si>
    <t>C946</t>
  </si>
  <si>
    <t>P946</t>
  </si>
  <si>
    <t>ORD 1947</t>
  </si>
  <si>
    <t>C947</t>
  </si>
  <si>
    <t>P947</t>
  </si>
  <si>
    <t>ORD 1948</t>
  </si>
  <si>
    <t>C948</t>
  </si>
  <si>
    <t>P948</t>
  </si>
  <si>
    <t>ORD 1949</t>
  </si>
  <si>
    <t>C949</t>
  </si>
  <si>
    <t>P949</t>
  </si>
  <si>
    <t>ORD 1950</t>
  </si>
  <si>
    <t>C950</t>
  </si>
  <si>
    <t>P950</t>
  </si>
  <si>
    <t>ORD 1951</t>
  </si>
  <si>
    <t>C951</t>
  </si>
  <si>
    <t>P951</t>
  </si>
  <si>
    <t>ORD 1952</t>
  </si>
  <si>
    <t>C952</t>
  </si>
  <si>
    <t>P952</t>
  </si>
  <si>
    <t>ORD 1953</t>
  </si>
  <si>
    <t>C953</t>
  </si>
  <si>
    <t>P953</t>
  </si>
  <si>
    <t>ORD 1954</t>
  </si>
  <si>
    <t>C954</t>
  </si>
  <si>
    <t>P954</t>
  </si>
  <si>
    <t>ORD 1955</t>
  </si>
  <si>
    <t>C955</t>
  </si>
  <si>
    <t>P955</t>
  </si>
  <si>
    <t>ORD 1956</t>
  </si>
  <si>
    <t>C956</t>
  </si>
  <si>
    <t>P956</t>
  </si>
  <si>
    <t>ORD 1957</t>
  </si>
  <si>
    <t>C957</t>
  </si>
  <si>
    <t>P957</t>
  </si>
  <si>
    <t>ORD 1958</t>
  </si>
  <si>
    <t>C958</t>
  </si>
  <si>
    <t>P958</t>
  </si>
  <si>
    <t>ORD 1959</t>
  </si>
  <si>
    <t>C959</t>
  </si>
  <si>
    <t>P959</t>
  </si>
  <si>
    <t>ORD 1960</t>
  </si>
  <si>
    <t>C960</t>
  </si>
  <si>
    <t>P960</t>
  </si>
  <si>
    <t>ORD 1961</t>
  </si>
  <si>
    <t>C961</t>
  </si>
  <si>
    <t>P961</t>
  </si>
  <si>
    <t>ORD 1962</t>
  </si>
  <si>
    <t>C962</t>
  </si>
  <si>
    <t>P962</t>
  </si>
  <si>
    <t>ORD 1963</t>
  </si>
  <si>
    <t>C963</t>
  </si>
  <si>
    <t>P963</t>
  </si>
  <si>
    <t>ORD 1964</t>
  </si>
  <si>
    <t>C964</t>
  </si>
  <si>
    <t>P964</t>
  </si>
  <si>
    <t>ORD 1965</t>
  </si>
  <si>
    <t>C965</t>
  </si>
  <si>
    <t>P965</t>
  </si>
  <si>
    <t>ORD 1966</t>
  </si>
  <si>
    <t>C966</t>
  </si>
  <si>
    <t>P966</t>
  </si>
  <si>
    <t>ORD 1967</t>
  </si>
  <si>
    <t>C967</t>
  </si>
  <si>
    <t>P967</t>
  </si>
  <si>
    <t>ORD 1968</t>
  </si>
  <si>
    <t>C968</t>
  </si>
  <si>
    <t>P968</t>
  </si>
  <si>
    <t>ORD 1969</t>
  </si>
  <si>
    <t>C969</t>
  </si>
  <si>
    <t>P969</t>
  </si>
  <si>
    <t>ORD 1970</t>
  </si>
  <si>
    <t>C970</t>
  </si>
  <si>
    <t>P970</t>
  </si>
  <si>
    <t>ORD 1971</t>
  </si>
  <si>
    <t>C971</t>
  </si>
  <si>
    <t>P971</t>
  </si>
  <si>
    <t>ORD 1972</t>
  </si>
  <si>
    <t>C972</t>
  </si>
  <si>
    <t>P972</t>
  </si>
  <si>
    <t>ORD 1973</t>
  </si>
  <si>
    <t>C973</t>
  </si>
  <si>
    <t>P973</t>
  </si>
  <si>
    <t>ORD 1974</t>
  </si>
  <si>
    <t>C974</t>
  </si>
  <si>
    <t>P974</t>
  </si>
  <si>
    <t>ORD 1975</t>
  </si>
  <si>
    <t>C975</t>
  </si>
  <si>
    <t>P975</t>
  </si>
  <si>
    <t>ORD 1976</t>
  </si>
  <si>
    <t>C976</t>
  </si>
  <si>
    <t>P976</t>
  </si>
  <si>
    <t>ORD 1977</t>
  </si>
  <si>
    <t>C977</t>
  </si>
  <si>
    <t>P977</t>
  </si>
  <si>
    <t>ORD 1978</t>
  </si>
  <si>
    <t>C978</t>
  </si>
  <si>
    <t>P978</t>
  </si>
  <si>
    <t>ORD 1979</t>
  </si>
  <si>
    <t>C979</t>
  </si>
  <si>
    <t>P979</t>
  </si>
  <si>
    <t>ORD 1980</t>
  </si>
  <si>
    <t>C980</t>
  </si>
  <si>
    <t>P980</t>
  </si>
  <si>
    <t>ORD 1981</t>
  </si>
  <si>
    <t>C981</t>
  </si>
  <si>
    <t>P981</t>
  </si>
  <si>
    <t>ORD 1982</t>
  </si>
  <si>
    <t>C982</t>
  </si>
  <si>
    <t>P982</t>
  </si>
  <si>
    <t>ORD 1983</t>
  </si>
  <si>
    <t>C983</t>
  </si>
  <si>
    <t>P983</t>
  </si>
  <si>
    <t>ORD 1984</t>
  </si>
  <si>
    <t>C984</t>
  </si>
  <si>
    <t>P984</t>
  </si>
  <si>
    <t>ORD 1985</t>
  </si>
  <si>
    <t>C985</t>
  </si>
  <si>
    <t>P985</t>
  </si>
  <si>
    <t>ORD 1986</t>
  </si>
  <si>
    <t>C986</t>
  </si>
  <si>
    <t>P986</t>
  </si>
  <si>
    <t>ORD 1987</t>
  </si>
  <si>
    <t>C987</t>
  </si>
  <si>
    <t>P987</t>
  </si>
  <si>
    <t>ORD 1988</t>
  </si>
  <si>
    <t>C988</t>
  </si>
  <si>
    <t>P988</t>
  </si>
  <si>
    <t>ORD 1989</t>
  </si>
  <si>
    <t>C989</t>
  </si>
  <si>
    <t>P989</t>
  </si>
  <si>
    <t>ORD 1990</t>
  </si>
  <si>
    <t>C990</t>
  </si>
  <si>
    <t>P990</t>
  </si>
  <si>
    <t>ORD 1991</t>
  </si>
  <si>
    <t>C991</t>
  </si>
  <si>
    <t>P991</t>
  </si>
  <si>
    <t>ORD 1992</t>
  </si>
  <si>
    <t>C992</t>
  </si>
  <si>
    <t>P992</t>
  </si>
  <si>
    <t>ORD 1993</t>
  </si>
  <si>
    <t>C993</t>
  </si>
  <si>
    <t>P993</t>
  </si>
  <si>
    <t>ORD 1994</t>
  </si>
  <si>
    <t>C994</t>
  </si>
  <si>
    <t>P994</t>
  </si>
  <si>
    <t>ORD 1995</t>
  </si>
  <si>
    <t>C995</t>
  </si>
  <si>
    <t>P995</t>
  </si>
  <si>
    <t>ORD 1996</t>
  </si>
  <si>
    <t>C996</t>
  </si>
  <si>
    <t>P996</t>
  </si>
  <si>
    <t>ORD 1997</t>
  </si>
  <si>
    <t>C997</t>
  </si>
  <si>
    <t>P997</t>
  </si>
  <si>
    <t>ORD 1998</t>
  </si>
  <si>
    <t>C998</t>
  </si>
  <si>
    <t>P998</t>
  </si>
  <si>
    <t>ORD 1999</t>
  </si>
  <si>
    <t>C999</t>
  </si>
  <si>
    <t>P999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</si>
</sst>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4">
    <font>
      <sz val="10.0"/>
      <color rgb="FF000000"/>
      <name val="Arial"/>
      <scheme val="minor"/>
    </font>
    <font>
      <color theme="1"/>
      <name val="Arial"/>
      <scheme val="minor"/>
    </font>
    <font>
      <b/>
      <sz val="15.0"/>
      <color theme="1"/>
      <name val="Arial"/>
      <scheme val="minor"/>
    </font>
    <font>
      <b/>
      <color theme="1"/>
      <name val="Arial"/>
      <scheme val="minor"/>
    </font>
  </fonts>
  <fills count="3">
    <fill>
      <patternFill patternType="none"/>
    </fill>
    <fill>
      <patternFill patternType="lightGray"/>
    </fill>
    <fill>
      <patternFill patternType="solid">
        <fgColor rgb="FFFF00FF"/>
        <bgColor rgb="FFFF00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1" numFmtId="9" xfId="0" applyFont="1" applyNumberFormat="1"/>
    <xf borderId="0" fillId="2" fontId="2" numFmtId="0" xfId="0" applyAlignment="1" applyFill="1" applyFont="1">
      <alignment horizontal="center" readingOrder="0" vertical="center"/>
    </xf>
    <xf borderId="0" fillId="0" fontId="3"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2.xml"/><Relationship Id="rId14" Type="http://schemas.microsoft.com/office/2007/relationships/slicerCache" Target="slicerCaches/slicerCache1.xml"/><Relationship Id="rId17" Type="http://schemas.microsoft.com/office/2007/relationships/slicerCache" Target="slicerCaches/slicerCache4.xml"/><Relationship Id="rId16"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_rels/chartEx1.xml.rels><?xml version="1.0" encoding="UTF-8" standalone="yes"?><Relationships xmlns="http://schemas.openxmlformats.org/package/2006/relationships"><Relationship Id="rId1" Type="http://schemas.microsoft.com/office/2011/relationships/chartStyle" Target="style1.xml"/><Relationship Id="rId2" Type="http://schemas.microsoft.com/office/2011/relationships/chartColorStyle" Target="colors1.xml"/></Relationships>
</file>

<file path=xl/charts/_rels/chartEx2.xml.rels><?xml version="1.0" encoding="UTF-8" standalone="yes"?><Relationships xmlns="http://schemas.openxmlformats.org/package/2006/relationships"><Relationship Id="rId1" Type="http://schemas.microsoft.com/office/2011/relationships/chartStyle" Target="style2.xml"/><Relationship Id="rId2" Type="http://schemas.microsoft.com/office/2011/relationships/chartColorStyle" Target="colors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20124D"/>
                </a:solidFill>
                <a:latin typeface="+mn-lt"/>
              </a:defRPr>
            </a:pPr>
            <a:r>
              <a:rPr b="1">
                <a:solidFill>
                  <a:srgbClr val="20124D"/>
                </a:solidFill>
                <a:latin typeface="+mn-lt"/>
              </a:rPr>
              <a:t>SUM of sales vs. state</a:t>
            </a:r>
          </a:p>
        </c:rich>
      </c:tx>
      <c:overlay val="0"/>
    </c:title>
    <c:plotArea>
      <c:layout/>
      <c:barChart>
        <c:barDir val="bar"/>
        <c:ser>
          <c:idx val="0"/>
          <c:order val="0"/>
          <c:tx>
            <c:strRef>
              <c:f>'Pivot Table 7'!$B$1</c:f>
            </c:strRef>
          </c:tx>
          <c:spPr>
            <a:solidFill>
              <a:schemeClr val="accent1"/>
            </a:solidFill>
            <a:ln cmpd="sng">
              <a:noFill/>
            </a:ln>
          </c:spPr>
          <c:cat>
            <c:strRef>
              <c:f>'Pivot Table 7'!$A$2:$A$11</c:f>
            </c:strRef>
          </c:cat>
          <c:val>
            <c:numRef>
              <c:f>'Pivot Table 7'!$B$2:$B$11</c:f>
              <c:numCache/>
            </c:numRef>
          </c:val>
        </c:ser>
        <c:axId val="262802524"/>
        <c:axId val="1402857603"/>
      </c:barChart>
      <c:catAx>
        <c:axId val="26280252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state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02857603"/>
      </c:catAx>
      <c:valAx>
        <c:axId val="140285760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62802524"/>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20124D"/>
                </a:solidFill>
                <a:latin typeface="+mn-lt"/>
              </a:defRPr>
            </a:pPr>
            <a:r>
              <a:rPr b="1">
                <a:solidFill>
                  <a:srgbClr val="20124D"/>
                </a:solidFill>
                <a:latin typeface="+mn-lt"/>
              </a:rPr>
              <a:t>COUNT of order id vs. payment mode</a:t>
            </a:r>
          </a:p>
        </c:rich>
      </c:tx>
      <c:overlay val="0"/>
    </c:title>
    <c:plotArea>
      <c:layout/>
      <c:pieChart>
        <c:varyColors val="1"/>
        <c:ser>
          <c:idx val="0"/>
          <c:order val="0"/>
          <c:tx>
            <c:strRef>
              <c:f>'Pivot Table 8'!$B$1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'Pivot Table 8'!$A$2:$A$6</c:f>
            </c:strRef>
          </c:cat>
          <c:val>
            <c:numRef>
              <c:f>'Pivot Table 8'!$B$2:$B$6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20124D"/>
                </a:solidFill>
                <a:latin typeface="+mn-lt"/>
              </a:defRPr>
            </a:pPr>
            <a:r>
              <a:rPr b="1">
                <a:solidFill>
                  <a:srgbClr val="20124D"/>
                </a:solidFill>
                <a:latin typeface="+mn-lt"/>
              </a:rPr>
              <a:t>SUM of sales vs. category</a:t>
            </a:r>
          </a:p>
        </c:rich>
      </c:tx>
      <c:overlay val="0"/>
    </c:title>
    <c:plotArea>
      <c:layout/>
      <c:areaChart>
        <c:ser>
          <c:idx val="0"/>
          <c:order val="0"/>
          <c:tx>
            <c:strRef>
              <c:f>'Pivot Table 6'!$B$1</c:f>
            </c:strRef>
          </c:tx>
          <c:spPr>
            <a:solidFill>
              <a:srgbClr val="4285F4">
                <a:alpha val="30000"/>
              </a:srgbClr>
            </a:solidFill>
            <a:ln cmpd="sng">
              <a:solidFill>
                <a:srgbClr val="4285F4"/>
              </a:solidFill>
            </a:ln>
          </c:spPr>
          <c:cat>
            <c:strRef>
              <c:f>'Pivot Table 6'!$A$2:$A$9</c:f>
            </c:strRef>
          </c:cat>
          <c:val>
            <c:numRef>
              <c:f>'Pivot Table 6'!$B$2:$B$9</c:f>
              <c:numCache/>
            </c:numRef>
          </c:val>
        </c:ser>
        <c:axId val="952073521"/>
        <c:axId val="864834856"/>
      </c:areaChart>
      <c:catAx>
        <c:axId val="9520735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64834856"/>
      </c:catAx>
      <c:valAx>
        <c:axId val="8648348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5207352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state</a:t>
            </a:r>
          </a:p>
        </c:rich>
      </c:tx>
      <c:overlay val="0"/>
    </c:title>
    <c:plotArea>
      <c:layout/>
      <c:barChart>
        <c:barDir val="bar"/>
        <c:ser>
          <c:idx val="0"/>
          <c:order val="0"/>
          <c:tx>
            <c:strRef>
              <c:f>'Pivot Table 7'!$B$1</c:f>
            </c:strRef>
          </c:tx>
          <c:spPr>
            <a:solidFill>
              <a:schemeClr val="accent1"/>
            </a:solidFill>
            <a:ln cmpd="sng">
              <a:noFill/>
            </a:ln>
          </c:spPr>
          <c:cat>
            <c:strRef>
              <c:f>'Pivot Table 7'!$A$2:$A$11</c:f>
            </c:strRef>
          </c:cat>
          <c:val>
            <c:numRef>
              <c:f>'Pivot Table 7'!$B$2:$B$11</c:f>
              <c:numCache/>
            </c:numRef>
          </c:val>
        </c:ser>
        <c:axId val="1849598217"/>
        <c:axId val="1079081882"/>
      </c:barChart>
      <c:catAx>
        <c:axId val="184959821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state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79081882"/>
      </c:catAx>
      <c:valAx>
        <c:axId val="107908188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49598217"/>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order id vs. payment mode</a:t>
            </a:r>
          </a:p>
        </c:rich>
      </c:tx>
      <c:overlay val="0"/>
    </c:title>
    <c:plotArea>
      <c:layout/>
      <c:pieChart>
        <c:varyColors val="1"/>
        <c:ser>
          <c:idx val="0"/>
          <c:order val="0"/>
          <c:tx>
            <c:strRef>
              <c:f>'Pivot Table 8'!$B$1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'Pivot Table 8'!$A$2:$A$6</c:f>
            </c:strRef>
          </c:cat>
          <c:val>
            <c:numRef>
              <c:f>'Pivot Table 8'!$B$2:$B$6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category</a:t>
            </a:r>
          </a:p>
        </c:rich>
      </c:tx>
      <c:overlay val="0"/>
    </c:title>
    <c:plotArea>
      <c:layout/>
      <c:areaChart>
        <c:ser>
          <c:idx val="0"/>
          <c:order val="0"/>
          <c:tx>
            <c:strRef>
              <c:f>'Pivot Table 6'!$B$1</c:f>
            </c:strRef>
          </c:tx>
          <c:spPr>
            <a:solidFill>
              <a:srgbClr val="4285F4">
                <a:alpha val="30000"/>
              </a:srgbClr>
            </a:solidFill>
            <a:ln cmpd="sng">
              <a:solidFill>
                <a:srgbClr val="4285F4"/>
              </a:solidFill>
            </a:ln>
          </c:spPr>
          <c:cat>
            <c:strRef>
              <c:f>'Pivot Table 6'!$A$2:$A$9</c:f>
            </c:strRef>
          </c:cat>
          <c:val>
            <c:numRef>
              <c:f>'Pivot Table 6'!$B$2:$B$9</c:f>
              <c:numCache/>
            </c:numRef>
          </c:val>
        </c:ser>
        <c:axId val="277035564"/>
        <c:axId val="1092341087"/>
      </c:areaChart>
      <c:catAx>
        <c:axId val="2770355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92341087"/>
      </c:catAx>
      <c:valAx>
        <c:axId val="10923410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77035564"/>
      </c:valAx>
    </c:plotArea>
    <c:legend>
      <c:legendPos val="r"/>
      <c:overlay val="0"/>
      <c:txPr>
        <a:bodyPr/>
        <a:lstStyle/>
        <a:p>
          <a:pPr lvl="0">
            <a:defRPr b="0">
              <a:solidFill>
                <a:srgbClr val="1A1A1A"/>
              </a:solidFill>
              <a:latin typeface="+mn-lt"/>
            </a:defRPr>
          </a:pPr>
        </a:p>
      </c:txPr>
    </c:legend>
    <c:plotVisOnly val="1"/>
  </c:chart>
</c:chartSpace>
</file>

<file path=xl/charts/chartEx1.xml><?xml version="1.0" encoding="utf-8"?>
<cx:chartSpace xmlns:a="http://schemas.openxmlformats.org/drawingml/2006/main" xmlns:cx="http://schemas.microsoft.com/office/drawing/2014/chartex" xmlns:r="http://schemas.openxmlformats.org/officeDocument/2006/relationships" xmlns:mc="http://schemas.openxmlformats.org/markup-compatibility/2006" xmlns:mv="urn:schemas-microsoft-com:mac:vml" xmlns:c14="http://schemas.microsoft.com/office/drawing/2007/8/2/chart">
  <cx:chartData>
    <cx:data id="0">
      <cx:numDim type="val">
        <cx:f>'Pivot Table 10'!$B$2:$B$9</cx:f>
      </cx:numDim>
      <cx:strDim type="cat">
        <cx:f>'Pivot Table 10'!$A$2:$A$9</cx:f>
      </cx:strDim>
    </cx:data>
  </cx:chartData>
  <cx:chart>
    <cx:title overlay="0">
      <cx:txPr>
        <a:bodyPr/>
        <a:lstStyle/>
        <a:p>
          <a:pPr lvl="0">
            <a:defRPr b="1">
              <a:solidFill>
                <a:srgbClr val="20124D"/>
              </a:solidFill>
              <a:latin typeface="+mn-lt"/>
            </a:defRPr>
          </a:pPr>
          <a:r>
            <a:rPr b="1">
              <a:solidFill>
                <a:srgbClr val="20124D"/>
              </a:solidFill>
              <a:latin typeface="+mn-lt"/>
            </a:rPr>
            <a:t>SUM of quantity vs. product name</a:t>
          </a:r>
        </a:p>
      </cx:txPr>
    </cx:title>
    <cx:plotArea>
      <cx:plotAreaRegion>
        <cx:series layoutId="waterfall" uniqueId="{A809AE2E-32BF-43B1-AF7A-B2F8F203DF5A}">
          <cx:tx>
            <cx:txData>
              <cx:f>'Pivot Table 10'!$B$1</cx:f>
            </cx:txData>
          </cx:tx>
          <cx:dataId val="0"/>
          <cx:layoutPr>
            <cx:visibility connectorLines="1"/>
            <cx:subtotals/>
          </cx:layoutPr>
        </cx:series>
      </cx:plotAreaRegion>
      <cx:axis id="0">
        <cx:catScaling gapWidth="auto"/>
        <cx:title>
          <cx:txPr>
            <a:bodyPr/>
            <a:lstStyle/>
            <a:p>
              <a:pPr lvl="0">
                <a:defRPr b="0">
                  <a:solidFill>
                    <a:srgbClr val="000000"/>
                  </a:solidFill>
                  <a:latin typeface="+mn-lt"/>
                </a:defRPr>
              </a:pPr>
              <a:r>
                <a:rPr b="0">
                  <a:solidFill>
                    <a:srgbClr val="000000"/>
                  </a:solidFill>
                  <a:latin typeface="+mn-lt"/>
                </a:rPr>
                <a:t>product name</a:t>
              </a:r>
            </a:p>
          </cx:txPr>
        </cx:title>
        <cx:tickLabels/>
      </cx:axis>
      <cx:axis id="1">
        <cx:valScaling max="auto" min="auto"/>
        <cx:title>
          <cx:txPr>
            <a:bodyPr/>
            <a:lstStyle/>
            <a:p>
              <a:pPr lvl="0">
                <a:defRPr b="0">
                  <a:solidFill>
                    <a:srgbClr val="000000"/>
                  </a:solidFill>
                  <a:latin typeface="+mn-lt"/>
                </a:defRPr>
              </a:pPr>
              <a:r>
                <a:rPr b="0">
                  <a:solidFill>
                    <a:srgbClr val="000000"/>
                  </a:solidFill>
                  <a:latin typeface="+mn-lt"/>
                </a:rPr>
                <a:t>SUM of quantity</a:t>
              </a:r>
            </a:p>
          </cx:txPr>
        </cx:title>
        <cx:majorGridlines>
          <cx:spPr>
            <a:ln>
              <a:solidFill>
                <a:srgbClr val="B7B7B7"/>
              </a:solidFill>
            </a:ln>
          </cx:spPr>
        </cx:majorGridlines>
        <cx:minorGridlines>
          <cx:spPr>
            <a:ln>
              <a:solidFill>
                <a:srgbClr val="CCCCCC">
                  <a:alpha val="0"/>
                </a:srgbClr>
              </a:solidFill>
            </a:ln>
          </cx:spPr>
        </cx:minorGridlines>
        <cx:tickLabels/>
      </cx:axis>
    </cx:plotArea>
    <cx:legend pos="r" overlay="0">
      <cx:txPr>
        <a:bodyPr/>
        <a:lstStyle/>
        <a:p>
          <a:pPr lvl="0">
            <a:defRPr b="0">
              <a:solidFill>
                <a:srgbClr val="1A1A1A"/>
              </a:solidFill>
              <a:latin typeface="+mn-lt"/>
            </a:defRPr>
          </a:pPr>
          <a:endParaRPr b="0">
            <a:solidFill>
              <a:srgbClr val="1A1A1A"/>
            </a:solidFill>
            <a:latin typeface="+mn-lt"/>
          </a:endParaRPr>
        </a:p>
      </cx:txPr>
    </cx:legend>
  </cx:chart>
</cx:chartSpace>
</file>

<file path=xl/charts/chartEx2.xml><?xml version="1.0" encoding="utf-8"?>
<cx:chartSpace xmlns:a="http://schemas.openxmlformats.org/drawingml/2006/main" xmlns:cx="http://schemas.microsoft.com/office/drawing/2014/chartex" xmlns:r="http://schemas.openxmlformats.org/officeDocument/2006/relationships" xmlns:mc="http://schemas.openxmlformats.org/markup-compatibility/2006" xmlns:mv="urn:schemas-microsoft-com:mac:vml" xmlns:c14="http://schemas.microsoft.com/office/drawing/2007/8/2/chart">
  <cx:chartData>
    <cx:data id="0">
      <cx:numDim type="val">
        <cx:f>'Pivot Table 10'!$B$2:$B$9</cx:f>
      </cx:numDim>
      <cx:strDim type="cat">
        <cx:f>'Pivot Table 10'!$A$2:$A$9</cx:f>
      </cx:strDim>
    </cx:data>
  </cx:chartData>
  <cx:chart>
    <cx:title overlay="0">
      <cx:txPr>
        <a:bodyPr/>
        <a:lstStyle/>
        <a:p>
          <a:pPr lvl="0">
            <a:defRPr b="1">
              <a:solidFill>
                <a:srgbClr val="20124D"/>
              </a:solidFill>
              <a:latin typeface="+mn-lt"/>
            </a:defRPr>
          </a:pPr>
          <a:r>
            <a:rPr b="1">
              <a:solidFill>
                <a:srgbClr val="20124D"/>
              </a:solidFill>
              <a:latin typeface="+mn-lt"/>
            </a:rPr>
            <a:t>SUM of quantity vs. product name</a:t>
          </a:r>
        </a:p>
      </cx:txPr>
    </cx:title>
    <cx:plotArea>
      <cx:plotAreaRegion>
        <cx:series layoutId="waterfall" uniqueId="{CBF82996-5EEC-44C7-BFE3-4E95F8802E22}">
          <cx:tx>
            <cx:txData>
              <cx:f>'Pivot Table 10'!$B$1</cx:f>
            </cx:txData>
          </cx:tx>
          <cx:dataId val="0"/>
          <cx:layoutPr>
            <cx:visibility connectorLines="1"/>
            <cx:subtotals/>
          </cx:layoutPr>
        </cx:series>
      </cx:plotAreaRegion>
      <cx:axis id="0">
        <cx:catScaling gapWidth="auto"/>
        <cx:title>
          <cx:txPr>
            <a:bodyPr/>
            <a:lstStyle/>
            <a:p>
              <a:pPr lvl="0">
                <a:defRPr b="0">
                  <a:solidFill>
                    <a:srgbClr val="000000"/>
                  </a:solidFill>
                  <a:latin typeface="+mn-lt"/>
                </a:defRPr>
              </a:pPr>
              <a:r>
                <a:rPr b="0">
                  <a:solidFill>
                    <a:srgbClr val="000000"/>
                  </a:solidFill>
                  <a:latin typeface="+mn-lt"/>
                </a:rPr>
                <a:t>product name</a:t>
              </a:r>
            </a:p>
          </cx:txPr>
        </cx:title>
        <cx:tickLabels/>
      </cx:axis>
      <cx:axis id="1">
        <cx:valScaling max="auto" min="auto"/>
        <cx:title>
          <cx:txPr>
            <a:bodyPr/>
            <a:lstStyle/>
            <a:p>
              <a:pPr lvl="0">
                <a:defRPr b="0">
                  <a:solidFill>
                    <a:srgbClr val="000000"/>
                  </a:solidFill>
                  <a:latin typeface="+mn-lt"/>
                </a:defRPr>
              </a:pPr>
              <a:r>
                <a:rPr b="0">
                  <a:solidFill>
                    <a:srgbClr val="000000"/>
                  </a:solidFill>
                  <a:latin typeface="+mn-lt"/>
                </a:rPr>
                <a:t>SUM of quantity</a:t>
              </a:r>
            </a:p>
          </cx:txPr>
        </cx:title>
        <cx:majorGridlines>
          <cx:spPr>
            <a:ln>
              <a:solidFill>
                <a:srgbClr val="B7B7B7"/>
              </a:solidFill>
            </a:ln>
          </cx:spPr>
        </cx:majorGridlines>
        <cx:minorGridlines>
          <cx:spPr>
            <a:ln>
              <a:solidFill>
                <a:srgbClr val="CCCCCC">
                  <a:alpha val="0"/>
                </a:srgbClr>
              </a:solidFill>
            </a:ln>
          </cx:spPr>
        </cx:minorGridlines>
        <cx:tickLabels/>
      </cx:axis>
    </cx:plotArea>
    <cx:legend pos="r" overlay="0">
      <cx:txPr>
        <a:bodyPr/>
        <a:lstStyle/>
        <a:p>
          <a:pPr lvl="0">
            <a:defRPr b="0">
              <a:solidFill>
                <a:srgbClr val="1A1A1A"/>
              </a:solidFill>
              <a:latin typeface="+mn-lt"/>
            </a:defRPr>
          </a:pPr>
          <a:endParaRPr b="0">
            <a:solidFill>
              <a:srgbClr val="1A1A1A"/>
            </a:solidFill>
            <a:latin typeface="+mn-lt"/>
          </a:endParaRPr>
        </a:p>
      </cx:txPr>
    </cx:legend>
  </cx:chart>
</cx:chartSpace>
</file>

<file path=xl/charts/colors1.xml><?xml version="1.0" encoding="utf-8"?>
<cs:colorStyle xmlns:a="http://schemas.openxmlformats.org/drawingml/2006/main" xmlns:cs="http://schemas.microsoft.com/office/drawing/2012/chartStyle" meth="cycle" id="10">
  <a:srgbClr val="4285F4"/>
  <a:srgbClr val="DB4437"/>
  <a:srgbClr val="BDBDBD"/>
</cs:colorStyle>
</file>

<file path=xl/charts/colors2.xml><?xml version="1.0" encoding="utf-8"?>
<cs:colorStyle xmlns:a="http://schemas.openxmlformats.org/drawingml/2006/main" xmlns:cs="http://schemas.microsoft.com/office/drawing/2012/chartStyle" meth="cycle" id="10">
  <a:srgbClr val="4285F4"/>
  <a:srgbClr val="DB4437"/>
  <a:srgbClr val="BDBDBD"/>
</cs:colorStyle>
</file>

<file path=xl/charts/style1.xml><?xml version="1.0" encoding="utf-8"?>
<cs:chartStyle xmlns:a="http://schemas.openxmlformats.org/drawingml/2006/main" xmlns:cs="http://schemas.microsoft.com/office/drawing/2012/chartStyle" id="395">
  <cs:axisTitle>
    <cs:lnRef idx="0"/>
    <cs:fillRef idx="0"/>
    <cs:effectRef idx="0"/>
    <cs:fontRef idx="minor"/>
  </cs:axisTitle>
  <cs:categoryAxis>
    <cs:lnRef idx="0"/>
    <cs:fillRef idx="0"/>
    <cs:effectRef idx="0"/>
    <cs:fontRef idx="minor"/>
  </cs:categoryAxis>
  <cs:chartArea>
    <cs:lnRef idx="0"/>
    <cs:fillRef idx="0"/>
    <cs:effectRef idx="0"/>
    <cs:fontRef idx="minor"/>
    <cs:spPr>
      <a:solidFill>
        <a:srgbClr val="FFFFFF"/>
      </a:solidFill>
      <a:ln cap="flat" cmpd="sng" w="9525" algn="ctr">
        <a:solidFill>
          <a:srgbClr val="000000"/>
        </a:solidFill>
      </a:ln>
    </cs:spPr>
  </cs:chartArea>
  <cs:dataLabel>
    <cs:lnRef idx="0"/>
    <cs:fillRef idx="0"/>
    <cs:effectRef idx="0"/>
    <cs:fontRef idx="minor"/>
  </cs:dataLabel>
  <cs:dataLabelCallout>
    <cs:lnRef idx="0"/>
    <cs:fillRef idx="0"/>
    <cs:effectRef idx="0"/>
    <cs:fontRef idx="minor"/>
  </cs:dataLabelCallout>
  <cs:dataPoint>
    <cs:lnRef idx="0"/>
    <cs:fillRef idx="0">
      <cs:styleClr val="isAuto"/>
    </cs:fillRef>
    <cs:effectRef idx="0"/>
    <cs:fontRef idx="minor"/>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a="http://schemas.openxmlformats.org/drawingml/2006/main" xmlns:cs="http://schemas.microsoft.com/office/drawing/2012/chartStyle" id="395">
  <cs:axisTitle>
    <cs:lnRef idx="0"/>
    <cs:fillRef idx="0"/>
    <cs:effectRef idx="0"/>
    <cs:fontRef idx="minor"/>
  </cs:axisTitle>
  <cs:categoryAxis>
    <cs:lnRef idx="0"/>
    <cs:fillRef idx="0"/>
    <cs:effectRef idx="0"/>
    <cs:fontRef idx="minor"/>
  </cs:categoryAxis>
  <cs:chartArea>
    <cs:lnRef idx="0"/>
    <cs:fillRef idx="0"/>
    <cs:effectRef idx="0"/>
    <cs:fontRef idx="minor"/>
    <cs:spPr>
      <a:solidFill>
        <a:srgbClr val="FFFFFF"/>
      </a:solidFill>
      <a:ln cap="flat" cmpd="sng" w="9525" algn="ctr">
        <a:solidFill>
          <a:srgbClr val="000000"/>
        </a:solidFill>
      </a:ln>
    </cs:spPr>
  </cs:chartArea>
  <cs:dataLabel>
    <cs:lnRef idx="0"/>
    <cs:fillRef idx="0"/>
    <cs:effectRef idx="0"/>
    <cs:fontRef idx="minor"/>
  </cs:dataLabel>
  <cs:dataLabelCallout>
    <cs:lnRef idx="0"/>
    <cs:fillRef idx="0"/>
    <cs:effectRef idx="0"/>
    <cs:fontRef idx="minor"/>
  </cs:dataLabelCallout>
  <cs:dataPoint>
    <cs:lnRef idx="0"/>
    <cs:fillRef idx="0">
      <cs:styleClr val="isAuto"/>
    </cs:fillRef>
    <cs:effectRef idx="0"/>
    <cs:fontRef idx="minor"/>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7.png"/><Relationship Id="rId3" Type="http://schemas.openxmlformats.org/officeDocument/2006/relationships/image" Target="../media/Chart8.png"/><Relationship Id="rId4" Type="http://schemas.openxmlformats.org/officeDocument/2006/relationships/image" Target="../media/Chart9.png"/><Relationship Id="rId5" Type="http://schemas.openxmlformats.org/officeDocument/2006/relationships/chart" Target="../charts/chart1.xml"/><Relationship Id="rId6" Type="http://schemas.openxmlformats.org/officeDocument/2006/relationships/chart" Target="../charts/chart2.xml"/><Relationship Id="rId7" Type="http://schemas.openxmlformats.org/officeDocument/2006/relationships/chart" Target="../charts/chart3.xml"/><Relationship Id="rId8"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142875</xdr:rowOff>
    </xdr:from>
    <xdr:ext cx="5715000" cy="3533775"/>
    <mc:AlternateContent>
      <mc:Choice Requires="cx1">
        <xdr:graphicFrame>
          <xdr:nvGraphicFramePr>
            <xdr:cNvPr id="1" name="Chart 1" title="Chart"/>
            <xdr:cNvGraphicFramePr/>
          </xdr:nvGraphicFramePr>
          <xdr:xfrm>
            <a:off x="0" y="0"/>
            <a:ext cx="0" cy="0"/>
          </xdr:xfrm>
          <a:graphic>
            <a:graphicData uri="http://schemas.microsoft.com/office/drawing/2014/chartex">
              <cx:chart r:id="rId1"/>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chart isn't available in your version of Excel. Editing this shape or saving this workbook into a different file format will permanently break the chart.
</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3</xdr:row>
      <xdr:rowOff>180975</xdr:rowOff>
    </xdr:from>
    <xdr:ext cx="2028825" cy="800100"/>
    <xdr:pic>
      <xdr:nvPicPr>
        <xdr:cNvPr id="1550167061"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466725</xdr:colOff>
      <xdr:row>3</xdr:row>
      <xdr:rowOff>180975</xdr:rowOff>
    </xdr:from>
    <xdr:ext cx="2028825" cy="800100"/>
    <xdr:pic>
      <xdr:nvPicPr>
        <xdr:cNvPr id="680133489" name="Chart7"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495300</xdr:colOff>
      <xdr:row>3</xdr:row>
      <xdr:rowOff>180975</xdr:rowOff>
    </xdr:from>
    <xdr:ext cx="2028825" cy="800100"/>
    <xdr:pic>
      <xdr:nvPicPr>
        <xdr:cNvPr id="1361006053" name="Chart8"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371475</xdr:colOff>
      <xdr:row>3</xdr:row>
      <xdr:rowOff>180975</xdr:rowOff>
    </xdr:from>
    <xdr:ext cx="2028825" cy="800100"/>
    <xdr:pic>
      <xdr:nvPicPr>
        <xdr:cNvPr id="1779009414" name="Chart9"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123825</xdr:colOff>
      <xdr:row>9</xdr:row>
      <xdr:rowOff>57150</xdr:rowOff>
    </xdr:from>
    <xdr:ext cx="3267075" cy="3086100"/>
    <xdr:graphicFrame>
      <xdr:nvGraphicFramePr>
        <xdr:cNvPr id="10" name="Chart 10"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819150</xdr:colOff>
      <xdr:row>9</xdr:row>
      <xdr:rowOff>57150</xdr:rowOff>
    </xdr:from>
    <xdr:ext cx="3381375" cy="3086100"/>
    <xdr:graphicFrame>
      <xdr:nvGraphicFramePr>
        <xdr:cNvPr id="11" name="Chart 11"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7</xdr:col>
      <xdr:colOff>466725</xdr:colOff>
      <xdr:row>9</xdr:row>
      <xdr:rowOff>95250</xdr:rowOff>
    </xdr:from>
    <xdr:ext cx="3781425" cy="3086100"/>
    <xdr:graphicFrame>
      <xdr:nvGraphicFramePr>
        <xdr:cNvPr id="12" name="Chart 12"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11</xdr:col>
      <xdr:colOff>514350</xdr:colOff>
      <xdr:row>9</xdr:row>
      <xdr:rowOff>95250</xdr:rowOff>
    </xdr:from>
    <xdr:ext cx="3533775" cy="3086100"/>
    <mc:AlternateContent>
      <mc:Choice Requires="cx1">
        <xdr:graphicFrame>
          <xdr:nvGraphicFramePr>
            <xdr:cNvPr id="13" name="Chart 13" title="Chart"/>
            <xdr:cNvGraphicFramePr/>
          </xdr:nvGraphicFramePr>
          <xdr:xfrm>
            <a:off x="0" y="0"/>
            <a:ext cx="0" cy="0"/>
          </xdr:xfrm>
          <a:graphic>
            <a:graphicData uri="http://schemas.microsoft.com/office/drawing/2014/chartex">
              <cx:chart r:id="rId8"/>
            </a:graphicData>
          </a:graphic>
        </xdr:graphicFrame>
      </mc:Choice>
      <mc:Fallback>
        <xdr:sp>
          <xdr:nvSpPr>
            <xdr:cNvPr id="1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chart isn't available in your version of Excel. Editing this shape or saving this workbook into a different file format will permanently break the chart.
</a:t>
              </a:r>
            </a:p>
          </xdr:txBody>
        </xdr:sp>
      </mc:Fallback>
    </mc:AlternateContent>
    <xdr:clientData fLocksWithSheet="0"/>
  </xdr:oneCellAnchor>
  <xdr:oneCellAnchor>
    <xdr:from>
      <xdr:col>0</xdr:col>
      <xdr:colOff>0</xdr:colOff>
      <xdr:row>1</xdr:row>
      <xdr:rowOff>85725</xdr:rowOff>
    </xdr:from>
    <xdr:ext cx="3200400" cy="2857500"/>
    <mc:AlternateContent>
      <mc:Choice Requires="sle15">
        <xdr:graphicFrame>
          <xdr:nvGraphicFramePr>
            <xdr:cNvPr id="1" name="state_1"/>
            <xdr:cNvGraphicFramePr/>
          </xdr:nvGraphicFramePr>
          <xdr:xfrm>
            <a:off x="0" y="0"/>
            <a:ext cx="0" cy="0"/>
          </xdr:xfrm>
          <a:graphic>
            <a:graphicData uri="http://schemas.microsoft.com/office/drawing/2010/slicer">
              <x3Unk:slicer name="stat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819150</xdr:colOff>
      <xdr:row>1</xdr:row>
      <xdr:rowOff>85725</xdr:rowOff>
    </xdr:from>
    <xdr:ext cx="3200400" cy="2857500"/>
    <mc:AlternateContent>
      <mc:Choice Requires="sle15">
        <xdr:graphicFrame>
          <xdr:nvGraphicFramePr>
            <xdr:cNvPr id="2" name="category_2"/>
            <xdr:cNvGraphicFramePr/>
          </xdr:nvGraphicFramePr>
          <xdr:xfrm>
            <a:off x="0" y="0"/>
            <a:ext cx="0" cy="0"/>
          </xdr:xfrm>
          <a:graphic>
            <a:graphicData uri="http://schemas.microsoft.com/office/drawing/2010/slicer">
              <x3Unk:slicer name="categor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723900</xdr:colOff>
      <xdr:row>1</xdr:row>
      <xdr:rowOff>85725</xdr:rowOff>
    </xdr:from>
    <xdr:ext cx="3200400" cy="2857500"/>
    <mc:AlternateContent>
      <mc:Choice Requires="sle15">
        <xdr:graphicFrame>
          <xdr:nvGraphicFramePr>
            <xdr:cNvPr id="3" name="payment mode_3"/>
            <xdr:cNvGraphicFramePr/>
          </xdr:nvGraphicFramePr>
          <xdr:xfrm>
            <a:off x="0" y="0"/>
            <a:ext cx="0" cy="0"/>
          </xdr:xfrm>
          <a:graphic>
            <a:graphicData uri="http://schemas.microsoft.com/office/drawing/2010/slicer">
              <x3Unk:slicer name="payment mod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676275</xdr:colOff>
      <xdr:row>1</xdr:row>
      <xdr:rowOff>85725</xdr:rowOff>
    </xdr:from>
    <xdr:ext cx="3533775" cy="2857500"/>
    <mc:AlternateContent>
      <mc:Choice Requires="sle15">
        <xdr:graphicFrame>
          <xdr:nvGraphicFramePr>
            <xdr:cNvPr id="4" name="order status_4"/>
            <xdr:cNvGraphicFramePr/>
          </xdr:nvGraphicFramePr>
          <xdr:xfrm>
            <a:off x="0" y="0"/>
            <a:ext cx="0" cy="0"/>
          </xdr:xfrm>
          <a:graphic>
            <a:graphicData uri="http://schemas.microsoft.com/office/drawing/2010/slicer">
              <x3Unk:slicer name="order status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0</xdr:row>
      <xdr:rowOff>161925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857250</xdr:colOff>
      <xdr:row>1</xdr:row>
      <xdr:rowOff>142875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676275</xdr:colOff>
      <xdr:row>1</xdr:row>
      <xdr:rowOff>95250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1000" sheet="orders"/>
  </cacheSource>
  <cacheFields>
    <cacheField name="order id" numFmtId="0">
      <sharedItems>
        <s v="ORD 1001"/>
        <s v="ORD 1002"/>
        <s v="ORD 1003"/>
        <s v="ORD 1004"/>
        <s v="ORD 1005"/>
        <s v="ORD 1006"/>
        <s v="ORD 1007"/>
        <s v="ORD 1008"/>
        <s v="ORD 1009"/>
        <s v="ORD 1010"/>
        <s v="ORD 1011"/>
        <s v="ORD 1012"/>
        <s v="ORD 1013"/>
        <s v="ORD 1014"/>
        <s v="ORD 1015"/>
        <s v="ORD 1016"/>
        <s v="ORD 1017"/>
        <s v="ORD 1018"/>
        <s v="ORD 1019"/>
        <s v="ORD 1020"/>
        <s v="ORD 1021"/>
        <s v="ORD 1022"/>
        <s v="ORD 1023"/>
        <s v="ORD 1024"/>
        <s v="ORD 1025"/>
        <s v="ORD 1026"/>
        <s v="ORD 1027"/>
        <s v="ORD 1028"/>
        <s v="ORD 1029"/>
        <s v="ORD 1030"/>
        <s v="ORD 1031"/>
        <s v="ORD 1032"/>
        <s v="ORD 1033"/>
        <s v="ORD 1034"/>
        <s v="ORD 1035"/>
        <s v="ORD 1036"/>
        <s v="ORD 1037"/>
        <s v="ORD 1038"/>
        <s v="ORD 1039"/>
        <s v="ORD 1040"/>
        <s v="ORD 1041"/>
        <s v="ORD 1042"/>
        <s v="ORD 1043"/>
        <s v="ORD 1044"/>
        <s v="ORD 1045"/>
        <s v="ORD 1046"/>
        <s v="ORD 1047"/>
        <s v="ORD 1048"/>
        <s v="ORD 1049"/>
        <s v="ORD 1050"/>
        <s v="ORD 1051"/>
        <s v="ORD 1052"/>
        <s v="ORD 1053"/>
        <s v="ORD 1054"/>
        <s v="ORD 1055"/>
        <s v="ORD 1056"/>
        <s v="ORD 1057"/>
        <s v="ORD 1058"/>
        <s v="ORD 1059"/>
        <s v="ORD 1060"/>
        <s v="ORD 1061"/>
        <s v="ORD 1062"/>
        <s v="ORD 1063"/>
        <s v="ORD 1064"/>
        <s v="ORD 1065"/>
        <s v="ORD 1066"/>
        <s v="ORD 1067"/>
        <s v="ORD 1068"/>
        <s v="ORD 1069"/>
        <s v="ORD 1070"/>
        <s v="ORD 1071"/>
        <s v="ORD 1072"/>
        <s v="ORD 1073"/>
        <s v="ORD 1074"/>
        <s v="ORD 1075"/>
        <s v="ORD 1076"/>
        <s v="ORD 1077"/>
        <s v="ORD 1078"/>
        <s v="ORD 1079"/>
        <s v="ORD 1080"/>
        <s v="ORD 1081"/>
        <s v="ORD 1082"/>
        <s v="ORD 1083"/>
        <s v="ORD 1084"/>
        <s v="ORD 1085"/>
        <s v="ORD 1086"/>
        <s v="ORD 1087"/>
        <s v="ORD 1088"/>
        <s v="ORD 1089"/>
        <s v="ORD 1090"/>
        <s v="ORD 1091"/>
        <s v="ORD 1092"/>
        <s v="ORD 1093"/>
        <s v="ORD 1094"/>
        <s v="ORD 1095"/>
        <s v="ORD 1096"/>
        <s v="ORD 1097"/>
        <s v="ORD 1098"/>
        <s v="ORD 1099"/>
        <s v="ORD 1100"/>
        <s v="ORD 1101"/>
        <s v="ORD 1102"/>
        <s v="ORD 1103"/>
        <s v="ORD 1104"/>
        <s v="ORD 1105"/>
        <s v="ORD 1106"/>
        <s v="ORD 1107"/>
        <s v="ORD 1108"/>
        <s v="ORD 1109"/>
        <s v="ORD 1110"/>
        <s v="ORD 1111"/>
        <s v="ORD 1112"/>
        <s v="ORD 1113"/>
        <s v="ORD 1114"/>
        <s v="ORD 1115"/>
        <s v="ORD 1116"/>
        <s v="ORD 1117"/>
        <s v="ORD 1118"/>
        <s v="ORD 1119"/>
        <s v="ORD 1120"/>
        <s v="ORD 1121"/>
        <s v="ORD 1122"/>
        <s v="ORD 1123"/>
        <s v="ORD 1124"/>
        <s v="ORD 1125"/>
        <s v="ORD 1126"/>
        <s v="ORD 1127"/>
        <s v="ORD 1128"/>
        <s v="ORD 1129"/>
        <s v="ORD 1130"/>
        <s v="ORD 1131"/>
        <s v="ORD 1132"/>
        <s v="ORD 1133"/>
        <s v="ORD 1134"/>
        <s v="ORD 1135"/>
        <s v="ORD 1136"/>
        <s v="ORD 1137"/>
        <s v="ORD 1138"/>
        <s v="ORD 1139"/>
        <s v="ORD 1140"/>
        <s v="ORD 1141"/>
        <s v="ORD 1142"/>
        <s v="ORD 1143"/>
        <s v="ORD 1144"/>
        <s v="ORD 1145"/>
        <s v="ORD 1146"/>
        <s v="ORD 1147"/>
        <s v="ORD 1148"/>
        <s v="ORD 1149"/>
        <s v="ORD 1150"/>
        <s v="ORD 1151"/>
        <s v="ORD 1152"/>
        <s v="ORD 1153"/>
        <s v="ORD 1154"/>
        <s v="ORD 1155"/>
        <s v="ORD 1156"/>
        <s v="ORD 1157"/>
        <s v="ORD 1158"/>
        <s v="ORD 1159"/>
        <s v="ORD 1160"/>
        <s v="ORD 1161"/>
        <s v="ORD 1162"/>
        <s v="ORD 1163"/>
        <s v="ORD 1164"/>
        <s v="ORD 1165"/>
        <s v="ORD 1166"/>
        <s v="ORD 1167"/>
        <s v="ORD 1168"/>
        <s v="ORD 1169"/>
        <s v="ORD 1170"/>
        <s v="ORD 1171"/>
        <s v="ORD 1172"/>
        <s v="ORD 1173"/>
        <s v="ORD 1174"/>
        <s v="ORD 1175"/>
        <s v="ORD 1176"/>
        <s v="ORD 1177"/>
        <s v="ORD 1178"/>
        <s v="ORD 1179"/>
        <s v="ORD 1180"/>
        <s v="ORD 1181"/>
        <s v="ORD 1182"/>
        <s v="ORD 1183"/>
        <s v="ORD 1184"/>
        <s v="ORD 1185"/>
        <s v="ORD 1186"/>
        <s v="ORD 1187"/>
        <s v="ORD 1188"/>
        <s v="ORD 1189"/>
        <s v="ORD 1190"/>
        <s v="ORD 1191"/>
        <s v="ORD 1192"/>
        <s v="ORD 1193"/>
        <s v="ORD 1194"/>
        <s v="ORD 1195"/>
        <s v="ORD 1196"/>
        <s v="ORD 1197"/>
        <s v="ORD 1198"/>
        <s v="ORD 1199"/>
        <s v="ORD 1200"/>
        <s v="ORD 1201"/>
        <s v="ORD 1202"/>
        <s v="ORD 1203"/>
        <s v="ORD 1204"/>
        <s v="ORD 1205"/>
        <s v="ORD 1206"/>
        <s v="ORD 1207"/>
        <s v="ORD 1208"/>
        <s v="ORD 1209"/>
        <s v="ORD 1210"/>
        <s v="ORD 1211"/>
        <s v="ORD 1212"/>
        <s v="ORD 1213"/>
        <s v="ORD 1214"/>
        <s v="ORD 1215"/>
        <s v="ORD 1216"/>
        <s v="ORD 1217"/>
        <s v="ORD 1218"/>
        <s v="ORD 1219"/>
        <s v="ORD 1220"/>
        <s v="ORD 1221"/>
        <s v="ORD 1222"/>
        <s v="ORD 1223"/>
        <s v="ORD 1224"/>
        <s v="ORD 1225"/>
        <s v="ORD 1226"/>
        <s v="ORD 1227"/>
        <s v="ORD 1228"/>
        <s v="ORD 1229"/>
        <s v="ORD 1230"/>
        <s v="ORD 1231"/>
        <s v="ORD 1232"/>
        <s v="ORD 1233"/>
        <s v="ORD 1234"/>
        <s v="ORD 1235"/>
        <s v="ORD 1236"/>
        <s v="ORD 1237"/>
        <s v="ORD 1238"/>
        <s v="ORD 1239"/>
        <s v="ORD 1240"/>
        <s v="ORD 1241"/>
        <s v="ORD 1242"/>
        <s v="ORD 1243"/>
        <s v="ORD 1244"/>
        <s v="ORD 1245"/>
        <s v="ORD 1246"/>
        <s v="ORD 1247"/>
        <s v="ORD 1248"/>
        <s v="ORD 1249"/>
        <s v="ORD 1250"/>
        <s v="ORD 1251"/>
        <s v="ORD 1252"/>
        <s v="ORD 1253"/>
        <s v="ORD 1254"/>
        <s v="ORD 1255"/>
        <s v="ORD 1256"/>
        <s v="ORD 1257"/>
        <s v="ORD 1258"/>
        <s v="ORD 1259"/>
        <s v="ORD 1260"/>
        <s v="ORD 1261"/>
        <s v="ORD 1262"/>
        <s v="ORD 1263"/>
        <s v="ORD 1264"/>
        <s v="ORD 1265"/>
        <s v="ORD 1266"/>
        <s v="ORD 1267"/>
        <s v="ORD 1268"/>
        <s v="ORD 1269"/>
        <s v="ORD 1270"/>
        <s v="ORD 1271"/>
        <s v="ORD 1272"/>
        <s v="ORD 1273"/>
        <s v="ORD 1274"/>
        <s v="ORD 1275"/>
        <s v="ORD 1276"/>
        <s v="ORD 1277"/>
        <s v="ORD 1278"/>
        <s v="ORD 1279"/>
        <s v="ORD 1280"/>
        <s v="ORD 1281"/>
        <s v="ORD 1282"/>
        <s v="ORD 1283"/>
        <s v="ORD 1284"/>
        <s v="ORD 1285"/>
        <s v="ORD 1286"/>
        <s v="ORD 1287"/>
        <s v="ORD 1288"/>
        <s v="ORD 1289"/>
        <s v="ORD 1290"/>
        <s v="ORD 1291"/>
        <s v="ORD 1292"/>
        <s v="ORD 1293"/>
        <s v="ORD 1294"/>
        <s v="ORD 1295"/>
        <s v="ORD 1296"/>
        <s v="ORD 1297"/>
        <s v="ORD 1298"/>
        <s v="ORD 1299"/>
        <s v="ORD 1300"/>
        <s v="ORD 1301"/>
        <s v="ORD 1302"/>
        <s v="ORD 1303"/>
        <s v="ORD 1304"/>
        <s v="ORD 1305"/>
        <s v="ORD 1306"/>
        <s v="ORD 1307"/>
        <s v="ORD 1308"/>
        <s v="ORD 1309"/>
        <s v="ORD 1310"/>
        <s v="ORD 1311"/>
        <s v="ORD 1312"/>
        <s v="ORD 1313"/>
        <s v="ORD 1314"/>
        <s v="ORD 1315"/>
        <s v="ORD 1316"/>
        <s v="ORD 1317"/>
        <s v="ORD 1318"/>
        <s v="ORD 1319"/>
        <s v="ORD 1320"/>
        <s v="ORD 1321"/>
        <s v="ORD 1322"/>
        <s v="ORD 1323"/>
        <s v="ORD 1324"/>
        <s v="ORD 1325"/>
        <s v="ORD 1326"/>
        <s v="ORD 1327"/>
        <s v="ORD 1328"/>
        <s v="ORD 1329"/>
        <s v="ORD 1330"/>
        <s v="ORD 1331"/>
        <s v="ORD 1332"/>
        <s v="ORD 1333"/>
        <s v="ORD 1334"/>
        <s v="ORD 1335"/>
        <s v="ORD 1336"/>
        <s v="ORD 1337"/>
        <s v="ORD 1338"/>
        <s v="ORD 1339"/>
        <s v="ORD 1340"/>
        <s v="ORD 1341"/>
        <s v="ORD 1342"/>
        <s v="ORD 1343"/>
        <s v="ORD 1344"/>
        <s v="ORD 1345"/>
        <s v="ORD 1346"/>
        <s v="ORD 1347"/>
        <s v="ORD 1348"/>
        <s v="ORD 1349"/>
        <s v="ORD 1350"/>
        <s v="ORD 1351"/>
        <s v="ORD 1352"/>
        <s v="ORD 1353"/>
        <s v="ORD 1354"/>
        <s v="ORD 1355"/>
        <s v="ORD 1356"/>
        <s v="ORD 1357"/>
        <s v="ORD 1358"/>
        <s v="ORD 1359"/>
        <s v="ORD 1360"/>
        <s v="ORD 1361"/>
        <s v="ORD 1362"/>
        <s v="ORD 1363"/>
        <s v="ORD 1364"/>
        <s v="ORD 1365"/>
        <s v="ORD 1366"/>
        <s v="ORD 1367"/>
        <s v="ORD 1368"/>
        <s v="ORD 1369"/>
        <s v="ORD 1370"/>
        <s v="ORD 1371"/>
        <s v="ORD 1372"/>
        <s v="ORD 1373"/>
        <s v="ORD 1374"/>
        <s v="ORD 1375"/>
        <s v="ORD 1376"/>
        <s v="ORD 1377"/>
        <s v="ORD 1378"/>
        <s v="ORD 1379"/>
        <s v="ORD 1380"/>
        <s v="ORD 1381"/>
        <s v="ORD 1382"/>
        <s v="ORD 1383"/>
        <s v="ORD 1384"/>
        <s v="ORD 1385"/>
        <s v="ORD 1386"/>
        <s v="ORD 1387"/>
        <s v="ORD 1388"/>
        <s v="ORD 1389"/>
        <s v="ORD 1390"/>
        <s v="ORD 1391"/>
        <s v="ORD 1392"/>
        <s v="ORD 1393"/>
        <s v="ORD 1394"/>
        <s v="ORD 1395"/>
        <s v="ORD 1396"/>
        <s v="ORD 1397"/>
        <s v="ORD 1398"/>
        <s v="ORD 1399"/>
        <s v="ORD 1400"/>
        <s v="ORD 1401"/>
        <s v="ORD 1402"/>
        <s v="ORD 1403"/>
        <s v="ORD 1404"/>
        <s v="ORD 1405"/>
        <s v="ORD 1406"/>
        <s v="ORD 1407"/>
        <s v="ORD 1408"/>
        <s v="ORD 1409"/>
        <s v="ORD 1410"/>
        <s v="ORD 1411"/>
        <s v="ORD 1412"/>
        <s v="ORD 1413"/>
        <s v="ORD 1414"/>
        <s v="ORD 1415"/>
        <s v="ORD 1416"/>
        <s v="ORD 1417"/>
        <s v="ORD 1418"/>
        <s v="ORD 1419"/>
        <s v="ORD 1420"/>
        <s v="ORD 1421"/>
        <s v="ORD 1422"/>
        <s v="ORD 1423"/>
        <s v="ORD 1424"/>
        <s v="ORD 1425"/>
        <s v="ORD 1426"/>
        <s v="ORD 1427"/>
        <s v="ORD 1428"/>
        <s v="ORD 1429"/>
        <s v="ORD 1430"/>
        <s v="ORD 1431"/>
        <s v="ORD 1432"/>
        <s v="ORD 1433"/>
        <s v="ORD 1434"/>
        <s v="ORD 1435"/>
        <s v="ORD 1436"/>
        <s v="ORD 1437"/>
        <s v="ORD 1438"/>
        <s v="ORD 1439"/>
        <s v="ORD 1440"/>
        <s v="ORD 1441"/>
        <s v="ORD 1442"/>
        <s v="ORD 1443"/>
        <s v="ORD 1444"/>
        <s v="ORD 1445"/>
        <s v="ORD 1446"/>
        <s v="ORD 1447"/>
        <s v="ORD 1448"/>
        <s v="ORD 1449"/>
        <s v="ORD 1450"/>
        <s v="ORD 1451"/>
        <s v="ORD 1452"/>
        <s v="ORD 1453"/>
        <s v="ORD 1454"/>
        <s v="ORD 1455"/>
        <s v="ORD 1456"/>
        <s v="ORD 1457"/>
        <s v="ORD 1458"/>
        <s v="ORD 1459"/>
        <s v="ORD 1460"/>
        <s v="ORD 1461"/>
        <s v="ORD 1462"/>
        <s v="ORD 1463"/>
        <s v="ORD 1464"/>
        <s v="ORD 1465"/>
        <s v="ORD 1466"/>
        <s v="ORD 1467"/>
        <s v="ORD 1468"/>
        <s v="ORD 1469"/>
        <s v="ORD 1470"/>
        <s v="ORD 1471"/>
        <s v="ORD 1472"/>
        <s v="ORD 1473"/>
        <s v="ORD 1474"/>
        <s v="ORD 1475"/>
        <s v="ORD 1476"/>
        <s v="ORD 1477"/>
        <s v="ORD 1478"/>
        <s v="ORD 1479"/>
        <s v="ORD 1480"/>
        <s v="ORD 1481"/>
        <s v="ORD 1482"/>
        <s v="ORD 1483"/>
        <s v="ORD 1484"/>
        <s v="ORD 1485"/>
        <s v="ORD 1486"/>
        <s v="ORD 1487"/>
        <s v="ORD 1488"/>
        <s v="ORD 1489"/>
        <s v="ORD 1490"/>
        <s v="ORD 1491"/>
        <s v="ORD 1492"/>
        <s v="ORD 1493"/>
        <s v="ORD 1494"/>
        <s v="ORD 1495"/>
        <s v="ORD 1496"/>
        <s v="ORD 1497"/>
        <s v="ORD 1498"/>
        <s v="ORD 1499"/>
        <s v="ORD 1500"/>
        <s v="ORD 1501"/>
        <s v="ORD 1502"/>
        <s v="ORD 1503"/>
        <s v="ORD 1504"/>
        <s v="ORD 1505"/>
        <s v="ORD 1506"/>
        <s v="ORD 1507"/>
        <s v="ORD 1508"/>
        <s v="ORD 1509"/>
        <s v="ORD 1510"/>
        <s v="ORD 1511"/>
        <s v="ORD 1512"/>
        <s v="ORD 1513"/>
        <s v="ORD 1514"/>
        <s v="ORD 1515"/>
        <s v="ORD 1516"/>
        <s v="ORD 1517"/>
        <s v="ORD 1518"/>
        <s v="ORD 1519"/>
        <s v="ORD 1520"/>
        <s v="ORD 1521"/>
        <s v="ORD 1522"/>
        <s v="ORD 1523"/>
        <s v="ORD 1524"/>
        <s v="ORD 1525"/>
        <s v="ORD 1526"/>
        <s v="ORD 1527"/>
        <s v="ORD 1528"/>
        <s v="ORD 1529"/>
        <s v="ORD 1530"/>
        <s v="ORD 1531"/>
        <s v="ORD 1532"/>
        <s v="ORD 1533"/>
        <s v="ORD 1534"/>
        <s v="ORD 1535"/>
        <s v="ORD 1536"/>
        <s v="ORD 1537"/>
        <s v="ORD 1538"/>
        <s v="ORD 1539"/>
        <s v="ORD 1540"/>
        <s v="ORD 1541"/>
        <s v="ORD 1542"/>
        <s v="ORD 1543"/>
        <s v="ORD 1544"/>
        <s v="ORD 1545"/>
        <s v="ORD 1546"/>
        <s v="ORD 1547"/>
        <s v="ORD 1548"/>
        <s v="ORD 1549"/>
        <s v="ORD 1550"/>
        <s v="ORD 1551"/>
        <s v="ORD 1552"/>
        <s v="ORD 1553"/>
        <s v="ORD 1554"/>
        <s v="ORD 1555"/>
        <s v="ORD 1556"/>
        <s v="ORD 1557"/>
        <s v="ORD 1558"/>
        <s v="ORD 1559"/>
        <s v="ORD 1560"/>
        <s v="ORD 1561"/>
        <s v="ORD 1562"/>
        <s v="ORD 1563"/>
        <s v="ORD 1564"/>
        <s v="ORD 1565"/>
        <s v="ORD 1566"/>
        <s v="ORD 1567"/>
        <s v="ORD 1568"/>
        <s v="ORD 1569"/>
        <s v="ORD 1570"/>
        <s v="ORD 1571"/>
        <s v="ORD 1572"/>
        <s v="ORD 1573"/>
        <s v="ORD 1574"/>
        <s v="ORD 1575"/>
        <s v="ORD 1576"/>
        <s v="ORD 1577"/>
        <s v="ORD 1578"/>
        <s v="ORD 1579"/>
        <s v="ORD 1580"/>
        <s v="ORD 1581"/>
        <s v="ORD 1582"/>
        <s v="ORD 1583"/>
        <s v="ORD 1584"/>
        <s v="ORD 1585"/>
        <s v="ORD 1586"/>
        <s v="ORD 1587"/>
        <s v="ORD 1588"/>
        <s v="ORD 1589"/>
        <s v="ORD 1590"/>
        <s v="ORD 1591"/>
        <s v="ORD 1592"/>
        <s v="ORD 1593"/>
        <s v="ORD 1594"/>
        <s v="ORD 1595"/>
        <s v="ORD 1596"/>
        <s v="ORD 1597"/>
        <s v="ORD 1598"/>
        <s v="ORD 1599"/>
        <s v="ORD 1600"/>
        <s v="ORD 1601"/>
        <s v="ORD 1602"/>
        <s v="ORD 1603"/>
        <s v="ORD 1604"/>
        <s v="ORD 1605"/>
        <s v="ORD 1606"/>
        <s v="ORD 1607"/>
        <s v="ORD 1608"/>
        <s v="ORD 1609"/>
        <s v="ORD 1610"/>
        <s v="ORD 1611"/>
        <s v="ORD 1612"/>
        <s v="ORD 1613"/>
        <s v="ORD 1614"/>
        <s v="ORD 1615"/>
        <s v="ORD 1616"/>
        <s v="ORD 1617"/>
        <s v="ORD 1618"/>
        <s v="ORD 1619"/>
        <s v="ORD 1620"/>
        <s v="ORD 1621"/>
        <s v="ORD 1622"/>
        <s v="ORD 1623"/>
        <s v="ORD 1624"/>
        <s v="ORD 1625"/>
        <s v="ORD 1626"/>
        <s v="ORD 1627"/>
        <s v="ORD 1628"/>
        <s v="ORD 1629"/>
        <s v="ORD 1630"/>
        <s v="ORD 1631"/>
        <s v="ORD 1632"/>
        <s v="ORD 1633"/>
        <s v="ORD 1634"/>
        <s v="ORD 1635"/>
        <s v="ORD 1636"/>
        <s v="ORD 1637"/>
        <s v="ORD 1638"/>
        <s v="ORD 1639"/>
        <s v="ORD 1640"/>
        <s v="ORD 1641"/>
        <s v="ORD 1642"/>
        <s v="ORD 1643"/>
        <s v="ORD 1644"/>
        <s v="ORD 1645"/>
        <s v="ORD 1646"/>
        <s v="ORD 1647"/>
        <s v="ORD 1648"/>
        <s v="ORD 1649"/>
        <s v="ORD 1650"/>
        <s v="ORD 1651"/>
        <s v="ORD 1652"/>
        <s v="ORD 1653"/>
        <s v="ORD 1654"/>
        <s v="ORD 1655"/>
        <s v="ORD 1656"/>
        <s v="ORD 1657"/>
        <s v="ORD 1658"/>
        <s v="ORD 1659"/>
        <s v="ORD 1660"/>
        <s v="ORD 1661"/>
        <s v="ORD 1662"/>
        <s v="ORD 1663"/>
        <s v="ORD 1664"/>
        <s v="ORD 1665"/>
        <s v="ORD 1666"/>
        <s v="ORD 1667"/>
        <s v="ORD 1668"/>
        <s v="ORD 1669"/>
        <s v="ORD 1670"/>
        <s v="ORD 1671"/>
        <s v="ORD 1672"/>
        <s v="ORD 1673"/>
        <s v="ORD 1674"/>
        <s v="ORD 1675"/>
        <s v="ORD 1676"/>
        <s v="ORD 1677"/>
        <s v="ORD 1678"/>
        <s v="ORD 1679"/>
        <s v="ORD 1680"/>
        <s v="ORD 1681"/>
        <s v="ORD 1682"/>
        <s v="ORD 1683"/>
        <s v="ORD 1684"/>
        <s v="ORD 1685"/>
        <s v="ORD 1686"/>
        <s v="ORD 1687"/>
        <s v="ORD 1688"/>
        <s v="ORD 1689"/>
        <s v="ORD 1690"/>
        <s v="ORD 1691"/>
        <s v="ORD 1692"/>
        <s v="ORD 1693"/>
        <s v="ORD 1694"/>
        <s v="ORD 1695"/>
        <s v="ORD 1696"/>
        <s v="ORD 1697"/>
        <s v="ORD 1698"/>
        <s v="ORD 1699"/>
        <s v="ORD 1700"/>
        <s v="ORD 1701"/>
        <s v="ORD 1702"/>
        <s v="ORD 1703"/>
        <s v="ORD 1704"/>
        <s v="ORD 1705"/>
        <s v="ORD 1706"/>
        <s v="ORD 1707"/>
        <s v="ORD 1708"/>
        <s v="ORD 1709"/>
        <s v="ORD 1710"/>
        <s v="ORD 1711"/>
        <s v="ORD 1712"/>
        <s v="ORD 1713"/>
        <s v="ORD 1714"/>
        <s v="ORD 1715"/>
        <s v="ORD 1716"/>
        <s v="ORD 1717"/>
        <s v="ORD 1718"/>
        <s v="ORD 1719"/>
        <s v="ORD 1720"/>
        <s v="ORD 1721"/>
        <s v="ORD 1722"/>
        <s v="ORD 1723"/>
        <s v="ORD 1724"/>
        <s v="ORD 1725"/>
        <s v="ORD 1726"/>
        <s v="ORD 1727"/>
        <s v="ORD 1728"/>
        <s v="ORD 1729"/>
        <s v="ORD 1730"/>
        <s v="ORD 1731"/>
        <s v="ORD 1732"/>
        <s v="ORD 1733"/>
        <s v="ORD 1734"/>
        <s v="ORD 1735"/>
        <s v="ORD 1736"/>
        <s v="ORD 1737"/>
        <s v="ORD 1738"/>
        <s v="ORD 1739"/>
        <s v="ORD 1740"/>
        <s v="ORD 1741"/>
        <s v="ORD 1742"/>
        <s v="ORD 1743"/>
        <s v="ORD 1744"/>
        <s v="ORD 1745"/>
        <s v="ORD 1746"/>
        <s v="ORD 1747"/>
        <s v="ORD 1748"/>
        <s v="ORD 1749"/>
        <s v="ORD 1750"/>
        <s v="ORD 1751"/>
        <s v="ORD 1752"/>
        <s v="ORD 1753"/>
        <s v="ORD 1754"/>
        <s v="ORD 1755"/>
        <s v="ORD 1756"/>
        <s v="ORD 1757"/>
        <s v="ORD 1758"/>
        <s v="ORD 1759"/>
        <s v="ORD 1760"/>
        <s v="ORD 1761"/>
        <s v="ORD 1762"/>
        <s v="ORD 1763"/>
        <s v="ORD 1764"/>
        <s v="ORD 1765"/>
        <s v="ORD 1766"/>
        <s v="ORD 1767"/>
        <s v="ORD 1768"/>
        <s v="ORD 1769"/>
        <s v="ORD 1770"/>
        <s v="ORD 1771"/>
        <s v="ORD 1772"/>
        <s v="ORD 1773"/>
        <s v="ORD 1774"/>
        <s v="ORD 1775"/>
        <s v="ORD 1776"/>
        <s v="ORD 1777"/>
        <s v="ORD 1778"/>
        <s v="ORD 1779"/>
        <s v="ORD 1780"/>
        <s v="ORD 1781"/>
        <s v="ORD 1782"/>
        <s v="ORD 1783"/>
        <s v="ORD 1784"/>
        <s v="ORD 1785"/>
        <s v="ORD 1786"/>
        <s v="ORD 1787"/>
        <s v="ORD 1788"/>
        <s v="ORD 1789"/>
        <s v="ORD 1790"/>
        <s v="ORD 1791"/>
        <s v="ORD 1792"/>
        <s v="ORD 1793"/>
        <s v="ORD 1794"/>
        <s v="ORD 1795"/>
        <s v="ORD 1796"/>
        <s v="ORD 1797"/>
        <s v="ORD 1798"/>
        <s v="ORD 1799"/>
        <s v="ORD 1800"/>
        <s v="ORD 1801"/>
        <s v="ORD 1802"/>
        <s v="ORD 1803"/>
        <s v="ORD 1804"/>
        <s v="ORD 1805"/>
        <s v="ORD 1806"/>
        <s v="ORD 1807"/>
        <s v="ORD 1808"/>
        <s v="ORD 1809"/>
        <s v="ORD 1810"/>
        <s v="ORD 1811"/>
        <s v="ORD 1812"/>
        <s v="ORD 1813"/>
        <s v="ORD 1814"/>
        <s v="ORD 1815"/>
        <s v="ORD 1816"/>
        <s v="ORD 1817"/>
        <s v="ORD 1818"/>
        <s v="ORD 1819"/>
        <s v="ORD 1820"/>
        <s v="ORD 1821"/>
        <s v="ORD 1822"/>
        <s v="ORD 1823"/>
        <s v="ORD 1824"/>
        <s v="ORD 1825"/>
        <s v="ORD 1826"/>
        <s v="ORD 1827"/>
        <s v="ORD 1828"/>
        <s v="ORD 1829"/>
        <s v="ORD 1830"/>
        <s v="ORD 1831"/>
        <s v="ORD 1832"/>
        <s v="ORD 1833"/>
        <s v="ORD 1834"/>
        <s v="ORD 1835"/>
        <s v="ORD 1836"/>
        <s v="ORD 1837"/>
        <s v="ORD 1838"/>
        <s v="ORD 1839"/>
        <s v="ORD 1840"/>
        <s v="ORD 1841"/>
        <s v="ORD 1842"/>
        <s v="ORD 1843"/>
        <s v="ORD 1844"/>
        <s v="ORD 1845"/>
        <s v="ORD 1846"/>
        <s v="ORD 1847"/>
        <s v="ORD 1848"/>
        <s v="ORD 1849"/>
        <s v="ORD 1850"/>
        <s v="ORD 1851"/>
        <s v="ORD 1852"/>
        <s v="ORD 1853"/>
        <s v="ORD 1854"/>
        <s v="ORD 1855"/>
        <s v="ORD 1856"/>
        <s v="ORD 1857"/>
        <s v="ORD 1858"/>
        <s v="ORD 1859"/>
        <s v="ORD 1860"/>
        <s v="ORD 1861"/>
        <s v="ORD 1862"/>
        <s v="ORD 1863"/>
        <s v="ORD 1864"/>
        <s v="ORD 1865"/>
        <s v="ORD 1866"/>
        <s v="ORD 1867"/>
        <s v="ORD 1868"/>
        <s v="ORD 1869"/>
        <s v="ORD 1870"/>
        <s v="ORD 1871"/>
        <s v="ORD 1872"/>
        <s v="ORD 1873"/>
        <s v="ORD 1874"/>
        <s v="ORD 1875"/>
        <s v="ORD 1876"/>
        <s v="ORD 1877"/>
        <s v="ORD 1878"/>
        <s v="ORD 1879"/>
        <s v="ORD 1880"/>
        <s v="ORD 1881"/>
        <s v="ORD 1882"/>
        <s v="ORD 1883"/>
        <s v="ORD 1884"/>
        <s v="ORD 1885"/>
        <s v="ORD 1886"/>
        <s v="ORD 1887"/>
        <s v="ORD 1888"/>
        <s v="ORD 1889"/>
        <s v="ORD 1890"/>
        <s v="ORD 1891"/>
        <s v="ORD 1892"/>
        <s v="ORD 1893"/>
        <s v="ORD 1894"/>
        <s v="ORD 1895"/>
        <s v="ORD 1896"/>
        <s v="ORD 1897"/>
        <s v="ORD 1898"/>
        <s v="ORD 1899"/>
        <s v="ORD 1900"/>
        <s v="ORD 1901"/>
        <s v="ORD 1902"/>
        <s v="ORD 1903"/>
        <s v="ORD 1904"/>
        <s v="ORD 1905"/>
        <s v="ORD 1906"/>
        <s v="ORD 1907"/>
        <s v="ORD 1908"/>
        <s v="ORD 1909"/>
        <s v="ORD 1910"/>
        <s v="ORD 1911"/>
        <s v="ORD 1912"/>
        <s v="ORD 1913"/>
        <s v="ORD 1914"/>
        <s v="ORD 1915"/>
        <s v="ORD 1916"/>
        <s v="ORD 1917"/>
        <s v="ORD 1918"/>
        <s v="ORD 1919"/>
        <s v="ORD 1920"/>
        <s v="ORD 1921"/>
        <s v="ORD 1922"/>
        <s v="ORD 1923"/>
        <s v="ORD 1924"/>
        <s v="ORD 1925"/>
        <s v="ORD 1926"/>
        <s v="ORD 1927"/>
        <s v="ORD 1928"/>
        <s v="ORD 1929"/>
        <s v="ORD 1930"/>
        <s v="ORD 1931"/>
        <s v="ORD 1932"/>
        <s v="ORD 1933"/>
        <s v="ORD 1934"/>
        <s v="ORD 1935"/>
        <s v="ORD 1936"/>
        <s v="ORD 1937"/>
        <s v="ORD 1938"/>
        <s v="ORD 1939"/>
        <s v="ORD 1940"/>
        <s v="ORD 1941"/>
        <s v="ORD 1942"/>
        <s v="ORD 1943"/>
        <s v="ORD 1944"/>
        <s v="ORD 1945"/>
        <s v="ORD 1946"/>
        <s v="ORD 1947"/>
        <s v="ORD 1948"/>
        <s v="ORD 1949"/>
        <s v="ORD 1950"/>
        <s v="ORD 1951"/>
        <s v="ORD 1952"/>
        <s v="ORD 1953"/>
        <s v="ORD 1954"/>
        <s v="ORD 1955"/>
        <s v="ORD 1956"/>
        <s v="ORD 1957"/>
        <s v="ORD 1958"/>
        <s v="ORD 1959"/>
        <s v="ORD 1960"/>
        <s v="ORD 1961"/>
        <s v="ORD 1962"/>
        <s v="ORD 1963"/>
        <s v="ORD 1964"/>
        <s v="ORD 1965"/>
        <s v="ORD 1966"/>
        <s v="ORD 1967"/>
        <s v="ORD 1968"/>
        <s v="ORD 1969"/>
        <s v="ORD 1970"/>
        <s v="ORD 1971"/>
        <s v="ORD 1972"/>
        <s v="ORD 1973"/>
        <s v="ORD 1974"/>
        <s v="ORD 1975"/>
        <s v="ORD 1976"/>
        <s v="ORD 1977"/>
        <s v="ORD 1978"/>
        <s v="ORD 1979"/>
        <s v="ORD 1980"/>
        <s v="ORD 1981"/>
        <s v="ORD 1982"/>
        <s v="ORD 1983"/>
        <s v="ORD 1984"/>
        <s v="ORD 1985"/>
        <s v="ORD 1986"/>
        <s v="ORD 1987"/>
        <s v="ORD 1988"/>
        <s v="ORD 1989"/>
        <s v="ORD 1990"/>
        <s v="ORD 1991"/>
        <s v="ORD 1992"/>
        <s v="ORD 1993"/>
        <s v="ORD 1994"/>
        <s v="ORD 1995"/>
        <s v="ORD 1996"/>
        <s v="ORD 1997"/>
        <s v="ORD 1998"/>
        <s v="ORD 1999"/>
      </sharedItems>
    </cacheField>
    <cacheField name="order date" numFmtId="164">
      <sharedItems containsSemiMixedTypes="0" containsDate="1" containsString="0">
        <d v="2026-02-21T00:00:00Z"/>
        <d v="2026-09-22T00:00:00Z"/>
        <d v="2026-08-02T00:00:00Z"/>
        <d v="2026-09-29T00:00:00Z"/>
        <d v="2026-04-30T00:00:00Z"/>
        <d v="2026-03-12T00:00:00Z"/>
        <d v="2026-05-15T00:00:00Z"/>
        <d v="2026-08-17T00:00:00Z"/>
        <d v="2026-03-23T00:00:00Z"/>
        <d v="2026-08-13T00:00:00Z"/>
        <d v="2026-09-17T00:00:00Z"/>
        <d v="2026-02-08T00:00:00Z"/>
        <d v="2026-07-03T00:00:00Z"/>
        <d v="2026-10-29T00:00:00Z"/>
        <d v="2026-10-04T00:00:00Z"/>
        <d v="2026-11-27T00:00:00Z"/>
        <d v="2026-09-23T00:00:00Z"/>
        <d v="2026-11-01T00:00:00Z"/>
        <d v="2026-01-20T00:00:00Z"/>
        <d v="2026-07-13T00:00:00Z"/>
        <d v="2026-06-21T00:00:00Z"/>
        <d v="2026-06-20T00:00:00Z"/>
        <d v="2026-06-12T00:00:00Z"/>
        <d v="2026-02-17T00:00:00Z"/>
        <d v="2026-09-13T00:00:00Z"/>
        <d v="2026-04-01T00:00:00Z"/>
        <d v="2026-07-05T00:00:00Z"/>
        <d v="2026-02-16T00:00:00Z"/>
        <d v="2026-03-24T00:00:00Z"/>
        <d v="2026-06-26T00:00:00Z"/>
        <d v="2026-03-08T00:00:00Z"/>
        <d v="2026-05-05T00:00:00Z"/>
        <d v="2026-11-11T00:00:00Z"/>
        <d v="2026-10-24T00:00:00Z"/>
        <d v="2026-10-05T00:00:00Z"/>
        <d v="2026-01-23T00:00:00Z"/>
        <d v="2026-04-23T00:00:00Z"/>
        <d v="2026-01-16T00:00:00Z"/>
        <d v="2026-04-20T00:00:00Z"/>
        <d v="2026-12-20T00:00:00Z"/>
        <d v="2026-01-12T00:00:00Z"/>
        <d v="2026-10-03T00:00:00Z"/>
        <d v="2026-10-02T00:00:00Z"/>
        <d v="2026-04-12T00:00:00Z"/>
        <d v="2026-12-21T00:00:00Z"/>
        <d v="2026-02-09T00:00:00Z"/>
        <d v="2026-03-13T00:00:00Z"/>
        <d v="2026-05-08T00:00:00Z"/>
        <d v="2026-05-14T00:00:00Z"/>
        <d v="2026-08-23T00:00:00Z"/>
        <d v="2026-02-04T00:00:00Z"/>
        <d v="2026-06-18T00:00:00Z"/>
        <d v="2026-03-30T00:00:00Z"/>
        <d v="2026-03-07T00:00:00Z"/>
        <d v="2026-08-27T00:00:00Z"/>
        <d v="2026-12-22T00:00:00Z"/>
        <d v="2026-12-24T00:00:00Z"/>
        <d v="2026-03-31T00:00:00Z"/>
        <d v="2026-07-30T00:00:00Z"/>
        <d v="2026-04-02T00:00:00Z"/>
        <d v="2026-07-12T00:00:00Z"/>
        <d v="2026-12-07T00:00:00Z"/>
        <d v="2026-06-19T00:00:00Z"/>
        <d v="2026-04-19T00:00:00Z"/>
        <d v="2026-12-08T00:00:00Z"/>
        <d v="2026-08-19T00:00:00Z"/>
        <d v="2026-08-21T00:00:00Z"/>
        <d v="2026-07-17T00:00:00Z"/>
        <d v="2026-10-11T00:00:00Z"/>
        <d v="2026-08-24T00:00:00Z"/>
        <d v="2026-01-05T00:00:00Z"/>
        <d v="2026-05-22T00:00:00Z"/>
        <d v="2026-08-04T00:00:00Z"/>
        <d v="2026-03-29T00:00:00Z"/>
        <d v="2026-11-10T00:00:00Z"/>
        <d v="2026-01-25T00:00:00Z"/>
        <d v="2026-10-27T00:00:00Z"/>
        <d v="2026-09-25T00:00:00Z"/>
        <d v="2026-07-09T00:00:00Z"/>
        <d v="2026-06-15T00:00:00Z"/>
        <d v="2026-10-07T00:00:00Z"/>
        <d v="2026-02-19T00:00:00Z"/>
        <d v="2026-12-23T00:00:00Z"/>
        <d v="2026-01-30T00:00:00Z"/>
        <d v="2026-02-27T00:00:00Z"/>
        <d v="2026-05-12T00:00:00Z"/>
        <d v="2026-12-16T00:00:00Z"/>
        <d v="2026-02-11T00:00:00Z"/>
        <d v="2026-06-14T00:00:00Z"/>
        <d v="2026-07-20T00:00:00Z"/>
        <d v="2026-09-14T00:00:00Z"/>
        <d v="2026-08-10T00:00:00Z"/>
        <d v="2026-11-19T00:00:00Z"/>
        <d v="2026-04-24T00:00:00Z"/>
        <d v="2026-10-15T00:00:00Z"/>
        <d v="2026-11-18T00:00:00Z"/>
        <d v="2026-09-15T00:00:00Z"/>
        <d v="2026-10-13T00:00:00Z"/>
        <d v="2026-04-14T00:00:00Z"/>
        <d v="2026-05-28T00:00:00Z"/>
        <d v="2026-03-16T00:00:00Z"/>
        <d v="2026-06-08T00:00:00Z"/>
        <d v="2026-04-03T00:00:00Z"/>
        <d v="2026-04-06T00:00:00Z"/>
        <d v="2026-11-02T00:00:00Z"/>
        <d v="2026-10-22T00:00:00Z"/>
        <d v="2026-02-13T00:00:00Z"/>
        <d v="2026-09-07T00:00:00Z"/>
        <d v="2026-10-16T00:00:00Z"/>
        <d v="2026-08-16T00:00:00Z"/>
        <d v="2026-11-29T00:00:00Z"/>
        <d v="2026-06-25T00:00:00Z"/>
        <d v="2026-05-31T00:00:00Z"/>
        <d v="2026-10-01T00:00:00Z"/>
        <d v="2026-01-02T00:00:00Z"/>
        <d v="2026-10-17T00:00:00Z"/>
        <d v="2026-04-08T00:00:00Z"/>
        <d v="2026-05-24T00:00:00Z"/>
        <d v="2026-06-04T00:00:00Z"/>
        <d v="2026-06-13T00:00:00Z"/>
        <d v="2026-05-02T00:00:00Z"/>
        <d v="2026-08-22T00:00:00Z"/>
        <d v="2026-04-10T00:00:00Z"/>
        <d v="2026-01-29T00:00:00Z"/>
        <d v="2026-12-11T00:00:00Z"/>
        <d v="2026-05-18T00:00:00Z"/>
        <d v="2026-01-08T00:00:00Z"/>
        <d v="2026-02-28T00:00:00Z"/>
        <d v="2026-11-04T00:00:00Z"/>
        <d v="2026-12-13T00:00:00Z"/>
        <d v="2026-05-29T00:00:00Z"/>
        <d v="2026-11-23T00:00:00Z"/>
        <d v="2026-06-01T00:00:00Z"/>
        <d v="2026-10-26T00:00:00Z"/>
        <d v="2026-08-14T00:00:00Z"/>
        <d v="2026-08-20T00:00:00Z"/>
        <d v="2026-04-16T00:00:00Z"/>
        <d v="2026-08-31T00:00:00Z"/>
        <d v="2026-03-18T00:00:00Z"/>
        <d v="2026-02-25T00:00:00Z"/>
        <d v="2026-04-11T00:00:00Z"/>
        <d v="2026-01-21T00:00:00Z"/>
        <d v="2026-04-18T00:00:00Z"/>
        <d v="2026-07-22T00:00:00Z"/>
        <d v="2026-12-02T00:00:00Z"/>
        <d v="2026-07-04T00:00:00Z"/>
        <d v="2026-07-14T00:00:00Z"/>
        <d v="2026-03-21T00:00:00Z"/>
        <d v="2026-01-06T00:00:00Z"/>
        <d v="2026-09-27T00:00:00Z"/>
        <d v="2026-10-08T00:00:00Z"/>
        <d v="2026-01-10T00:00:00Z"/>
        <d v="2026-08-15T00:00:00Z"/>
        <d v="2026-11-09T00:00:00Z"/>
        <d v="2026-09-02T00:00:00Z"/>
        <d v="2026-06-30T00:00:00Z"/>
        <d v="2026-07-11T00:00:00Z"/>
        <d v="2026-06-16T00:00:00Z"/>
        <d v="2026-06-23T00:00:00Z"/>
        <d v="2026-09-03T00:00:00Z"/>
        <d v="2026-11-07T00:00:00Z"/>
        <d v="2026-03-03T00:00:00Z"/>
        <d v="2026-03-17T00:00:00Z"/>
        <d v="2026-10-06T00:00:00Z"/>
        <d v="2026-08-06T00:00:00Z"/>
        <d v="2026-09-20T00:00:00Z"/>
        <d v="2026-04-26T00:00:00Z"/>
        <d v="2026-02-26T00:00:00Z"/>
        <d v="2026-06-05T00:00:00Z"/>
        <d v="2026-07-15T00:00:00Z"/>
        <d v="2026-06-10T00:00:00Z"/>
        <d v="2026-04-28T00:00:00Z"/>
        <d v="2026-11-30T00:00:00Z"/>
        <d v="2026-01-15T00:00:00Z"/>
        <d v="2026-05-13T00:00:00Z"/>
        <d v="2026-07-23T00:00:00Z"/>
        <d v="2026-04-25T00:00:00Z"/>
        <d v="2026-01-13T00:00:00Z"/>
        <d v="2026-01-14T00:00:00Z"/>
        <d v="2026-10-28T00:00:00Z"/>
        <d v="2026-01-04T00:00:00Z"/>
        <d v="2026-01-24T00:00:00Z"/>
        <d v="2026-06-07T00:00:00Z"/>
        <d v="2026-02-03T00:00:00Z"/>
        <d v="2026-05-21T00:00:00Z"/>
        <d v="2026-07-21T00:00:00Z"/>
        <d v="2026-10-20T00:00:00Z"/>
        <d v="2026-08-11T00:00:00Z"/>
        <d v="2026-12-14T00:00:00Z"/>
        <d v="2026-06-24T00:00:00Z"/>
        <d v="2026-11-20T00:00:00Z"/>
        <d v="2026-05-25T00:00:00Z"/>
        <d v="2026-07-16T00:00:00Z"/>
        <d v="2026-06-27T00:00:00Z"/>
        <d v="2026-10-23T00:00:00Z"/>
        <d v="2026-04-05T00:00:00Z"/>
        <d v="2026-10-30T00:00:00Z"/>
        <d v="2026-11-08T00:00:00Z"/>
        <d v="2026-08-18T00:00:00Z"/>
        <d v="2026-11-26T00:00:00Z"/>
        <d v="2026-11-15T00:00:00Z"/>
        <d v="2026-02-15T00:00:00Z"/>
        <d v="2026-07-28T00:00:00Z"/>
        <d v="2026-12-27T00:00:00Z"/>
        <d v="2026-11-28T00:00:00Z"/>
        <d v="2026-09-19T00:00:00Z"/>
        <d v="2026-06-22T00:00:00Z"/>
        <d v="2026-07-08T00:00:00Z"/>
        <d v="2026-01-26T00:00:00Z"/>
        <d v="2026-06-29T00:00:00Z"/>
        <d v="2026-01-19T00:00:00Z"/>
        <d v="2026-10-09T00:00:00Z"/>
        <d v="2026-10-14T00:00:00Z"/>
        <d v="2026-08-09T00:00:00Z"/>
        <d v="2026-09-11T00:00:00Z"/>
        <d v="2026-04-13T00:00:00Z"/>
        <d v="2026-08-29T00:00:00Z"/>
        <d v="2026-01-07T00:00:00Z"/>
        <d v="2026-10-18T00:00:00Z"/>
        <d v="2026-04-29T00:00:00Z"/>
        <d v="2026-05-04T00:00:00Z"/>
        <d v="2026-12-12T00:00:00Z"/>
        <d v="2026-09-28T00:00:00Z"/>
        <d v="2026-03-10T00:00:00Z"/>
        <d v="2026-01-18T00:00:00Z"/>
        <d v="2026-07-29T00:00:00Z"/>
        <d v="2026-03-27T00:00:00Z"/>
        <d v="2026-08-03T00:00:00Z"/>
        <d v="2026-08-28T00:00:00Z"/>
        <d v="2026-07-01T00:00:00Z"/>
        <d v="2026-01-31T00:00:00Z"/>
        <d v="2026-04-22T00:00:00Z"/>
        <d v="2026-07-02T00:00:00Z"/>
        <d v="2026-12-31T00:00:00Z"/>
        <d v="2026-03-20T00:00:00Z"/>
        <d v="2026-05-30T00:00:00Z"/>
        <d v="2026-01-28T00:00:00Z"/>
        <d v="2026-07-06T00:00:00Z"/>
        <d v="2026-08-25T00:00:00Z"/>
        <d v="2026-07-18T00:00:00Z"/>
        <d v="2026-11-16T00:00:00Z"/>
        <d v="2026-05-20T00:00:00Z"/>
        <d v="2026-11-14T00:00:00Z"/>
        <d v="2026-05-19T00:00:00Z"/>
        <d v="2026-08-30T00:00:00Z"/>
        <d v="2026-09-05T00:00:00Z"/>
        <d v="2026-08-26T00:00:00Z"/>
        <d v="2026-06-02T00:00:00Z"/>
        <d v="2026-11-17T00:00:00Z"/>
        <d v="2026-12-10T00:00:00Z"/>
        <d v="2026-09-18T00:00:00Z"/>
        <d v="2026-04-27T00:00:00Z"/>
        <d v="2026-01-11T00:00:00Z"/>
        <d v="2026-08-12T00:00:00Z"/>
        <d v="2026-02-23T00:00:00Z"/>
        <d v="2026-10-25T00:00:00Z"/>
        <d v="2026-01-22T00:00:00Z"/>
        <d v="2026-05-23T00:00:00Z"/>
        <d v="2026-02-05T00:00:00Z"/>
        <d v="2026-02-07T00:00:00Z"/>
        <d v="2026-02-06T00:00:00Z"/>
        <d v="2026-10-21T00:00:00Z"/>
        <d v="2026-07-10T00:00:00Z"/>
        <d v="2026-11-06T00:00:00Z"/>
        <d v="2026-02-12T00:00:00Z"/>
        <d v="2026-11-12T00:00:00Z"/>
        <d v="2026-12-04T00:00:00Z"/>
        <d v="2026-11-22T00:00:00Z"/>
        <d v="2026-05-07T00:00:00Z"/>
        <d v="2026-12-15T00:00:00Z"/>
        <d v="2026-01-09T00:00:00Z"/>
        <d v="2026-02-10T00:00:00Z"/>
        <d v="2026-11-25T00:00:00Z"/>
        <d v="2026-04-07T00:00:00Z"/>
        <d v="2026-07-27T00:00:00Z"/>
        <d v="2026-03-15T00:00:00Z"/>
        <d v="2026-03-28T00:00:00Z"/>
        <d v="2026-10-12T00:00:00Z"/>
        <d v="2026-02-22T00:00:00Z"/>
        <d v="2026-04-17T00:00:00Z"/>
        <d v="2026-04-04T00:00:00Z"/>
        <d v="2026-05-10T00:00:00Z"/>
        <d v="2026-03-22T00:00:00Z"/>
        <d v="2026-11-13T00:00:00Z"/>
        <d v="2026-06-06T00:00:00Z"/>
        <d v="2026-10-19T00:00:00Z"/>
        <d v="2026-02-01T00:00:00Z"/>
        <d v="2026-09-24T00:00:00Z"/>
        <d v="2026-11-03T00:00:00Z"/>
        <d v="2026-06-17T00:00:00Z"/>
        <d v="2026-05-17T00:00:00Z"/>
        <d v="2026-02-24T00:00:00Z"/>
        <d v="2026-12-05T00:00:00Z"/>
        <d v="2026-05-03T00:00:00Z"/>
        <d v="2026-12-19T00:00:00Z"/>
        <d v="2026-11-24T00:00:00Z"/>
        <d v="2026-09-06T00:00:00Z"/>
        <d v="2026-10-31T00:00:00Z"/>
        <d v="2026-03-25T00:00:00Z"/>
        <d v="2026-06-28T00:00:00Z"/>
        <d v="2026-10-10T00:00:00Z"/>
        <d v="2026-09-09T00:00:00Z"/>
        <d v="2026-03-14T00:00:00Z"/>
        <d v="2026-02-14T00:00:00Z"/>
        <d v="2026-05-16T00:00:00Z"/>
        <d v="2026-12-01T00:00:00Z"/>
        <d v="2026-09-08T00:00:00Z"/>
        <d v="2026-06-09T00:00:00Z"/>
        <d v="2026-12-18T00:00:00Z"/>
        <d v="2026-11-21T00:00:00Z"/>
        <d v="2026-12-26T00:00:00Z"/>
        <d v="2026-09-10T00:00:00Z"/>
        <d v="2026-09-21T00:00:00Z"/>
        <d v="2026-04-09T00:00:00Z"/>
        <d v="2026-07-31T00:00:00Z"/>
        <d v="2026-12-25T00:00:00Z"/>
        <d v="2026-09-04T00:00:00Z"/>
        <d v="2026-01-01T00:00:00Z"/>
        <d v="2026-03-19T00:00:00Z"/>
        <d v="2026-05-06T00:00:00Z"/>
        <d v="2026-12-17T00:00:00Z"/>
        <d v="2026-05-26T00:00:00Z"/>
        <d v="2026-12-03T00:00:00Z"/>
        <d v="2026-03-02T00:00:00Z"/>
        <d v="2026-08-08T00:00:00Z"/>
        <d v="2026-06-03T00:00:00Z"/>
        <d v="2026-08-07T00:00:00Z"/>
        <d v="2026-09-30T00:00:00Z"/>
        <d v="2026-03-06T00:00:00Z"/>
        <d v="2026-06-11T00:00:00Z"/>
        <d v="2026-05-11T00:00:00Z"/>
        <d v="2026-05-09T00:00:00Z"/>
        <d v="2026-04-21T00:00:00Z"/>
        <d v="2026-07-25T00:00:00Z"/>
        <d v="2026-02-18T00:00:00Z"/>
        <d v="2026-12-28T00:00:00Z"/>
        <d v="2026-02-02T00:00:00Z"/>
        <d v="2026-08-05T00:00:00Z"/>
        <d v="2026-12-06T00:00:00Z"/>
        <d v="2026-01-27T00:00:00Z"/>
      </sharedItems>
    </cacheField>
    <cacheField name="customer  id" numFmtId="0">
      <sharedItems>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 v="C101"/>
        <s v="C102"/>
        <s v="C103"/>
        <s v="C104"/>
        <s v="C105"/>
        <s v="C106"/>
        <s v="C107"/>
        <s v="C108"/>
        <s v="C109"/>
        <s v="C110"/>
        <s v="C111"/>
        <s v="C112"/>
        <s v="C113"/>
        <s v="C114"/>
        <s v="C115"/>
        <s v="C116"/>
        <s v="C117"/>
        <s v="C118"/>
        <s v="C119"/>
        <s v="C120"/>
        <s v="C121"/>
        <s v="C122"/>
        <s v="C123"/>
        <s v="C124"/>
        <s v="C125"/>
        <s v="C126"/>
        <s v="C127"/>
        <s v="C128"/>
        <s v="C129"/>
        <s v="C130"/>
        <s v="C131"/>
        <s v="C132"/>
        <s v="C133"/>
        <s v="C134"/>
        <s v="C135"/>
        <s v="C136"/>
        <s v="C137"/>
        <s v="C138"/>
        <s v="C139"/>
        <s v="C140"/>
        <s v="C141"/>
        <s v="C142"/>
        <s v="C143"/>
        <s v="C144"/>
        <s v="C145"/>
        <s v="C146"/>
        <s v="C147"/>
        <s v="C148"/>
        <s v="C149"/>
        <s v="C150"/>
        <s v="C151"/>
        <s v="C152"/>
        <s v="C153"/>
        <s v="C154"/>
        <s v="C155"/>
        <s v="C156"/>
        <s v="C157"/>
        <s v="C158"/>
        <s v="C159"/>
        <s v="C160"/>
        <s v="C161"/>
        <s v="C162"/>
        <s v="C163"/>
        <s v="C164"/>
        <s v="C165"/>
        <s v="C166"/>
        <s v="C167"/>
        <s v="C168"/>
        <s v="C169"/>
        <s v="C170"/>
        <s v="C171"/>
        <s v="C172"/>
        <s v="C173"/>
        <s v="C174"/>
        <s v="C175"/>
        <s v="C176"/>
        <s v="C177"/>
        <s v="C178"/>
        <s v="C179"/>
        <s v="C180"/>
        <s v="C181"/>
        <s v="C182"/>
        <s v="C183"/>
        <s v="C184"/>
        <s v="C185"/>
        <s v="C186"/>
        <s v="C187"/>
        <s v="C188"/>
        <s v="C189"/>
        <s v="C190"/>
        <s v="C191"/>
        <s v="C192"/>
        <s v="C193"/>
        <s v="C194"/>
        <s v="C195"/>
        <s v="C196"/>
        <s v="C197"/>
        <s v="C198"/>
        <s v="C199"/>
        <s v="C200"/>
        <s v="C201"/>
        <s v="C202"/>
        <s v="C203"/>
        <s v="C204"/>
        <s v="C205"/>
        <s v="C206"/>
        <s v="C207"/>
        <s v="C208"/>
        <s v="C209"/>
        <s v="C210"/>
        <s v="C211"/>
        <s v="C212"/>
        <s v="C213"/>
        <s v="C214"/>
        <s v="C215"/>
        <s v="C216"/>
        <s v="C217"/>
        <s v="C218"/>
        <s v="C219"/>
        <s v="C220"/>
        <s v="C221"/>
        <s v="C222"/>
        <s v="C223"/>
        <s v="C224"/>
        <s v="C225"/>
        <s v="C226"/>
        <s v="C227"/>
        <s v="C228"/>
        <s v="C229"/>
        <s v="C230"/>
        <s v="C231"/>
        <s v="C232"/>
        <s v="C233"/>
        <s v="C234"/>
        <s v="C235"/>
        <s v="C236"/>
        <s v="C237"/>
        <s v="C238"/>
        <s v="C239"/>
        <s v="C240"/>
        <s v="C241"/>
        <s v="C242"/>
        <s v="C243"/>
        <s v="C244"/>
        <s v="C245"/>
        <s v="C246"/>
        <s v="C247"/>
        <s v="C248"/>
        <s v="C249"/>
        <s v="C250"/>
        <s v="C251"/>
        <s v="C252"/>
        <s v="C253"/>
        <s v="C254"/>
        <s v="C255"/>
        <s v="C256"/>
        <s v="C257"/>
        <s v="C258"/>
        <s v="C259"/>
        <s v="C260"/>
        <s v="C261"/>
        <s v="C262"/>
        <s v="C263"/>
        <s v="C264"/>
        <s v="C265"/>
        <s v="C266"/>
        <s v="C267"/>
        <s v="C268"/>
        <s v="C269"/>
        <s v="C270"/>
        <s v="C271"/>
        <s v="C272"/>
        <s v="C273"/>
        <s v="C274"/>
        <s v="C275"/>
        <s v="C276"/>
        <s v="C277"/>
        <s v="C278"/>
        <s v="C279"/>
        <s v="C280"/>
        <s v="C281"/>
        <s v="C282"/>
        <s v="C283"/>
        <s v="C284"/>
        <s v="C285"/>
        <s v="C286"/>
        <s v="C287"/>
        <s v="C288"/>
        <s v="C289"/>
        <s v="C290"/>
        <s v="C291"/>
        <s v="C292"/>
        <s v="C293"/>
        <s v="C294"/>
        <s v="C295"/>
        <s v="C296"/>
        <s v="C297"/>
        <s v="C298"/>
        <s v="C299"/>
        <s v="C300"/>
        <s v="C301"/>
        <s v="C302"/>
        <s v="C303"/>
        <s v="C304"/>
        <s v="C305"/>
        <s v="C306"/>
        <s v="C307"/>
        <s v="C308"/>
        <s v="C309"/>
        <s v="C310"/>
        <s v="C311"/>
        <s v="C312"/>
        <s v="C313"/>
        <s v="C314"/>
        <s v="C315"/>
        <s v="C316"/>
        <s v="C317"/>
        <s v="C318"/>
        <s v="C319"/>
        <s v="C320"/>
        <s v="C321"/>
        <s v="C322"/>
        <s v="C323"/>
        <s v="C324"/>
        <s v="C325"/>
        <s v="C326"/>
        <s v="C327"/>
        <s v="C328"/>
        <s v="C329"/>
        <s v="C330"/>
        <s v="C331"/>
        <s v="C332"/>
        <s v="C333"/>
        <s v="C334"/>
        <s v="C335"/>
        <s v="C336"/>
        <s v="C337"/>
        <s v="C338"/>
        <s v="C339"/>
        <s v="C340"/>
        <s v="C341"/>
        <s v="C342"/>
        <s v="C343"/>
        <s v="C344"/>
        <s v="C345"/>
        <s v="C346"/>
        <s v="C347"/>
        <s v="C348"/>
        <s v="C349"/>
        <s v="C350"/>
        <s v="C351"/>
        <s v="C352"/>
        <s v="C353"/>
        <s v="C354"/>
        <s v="C355"/>
        <s v="C356"/>
        <s v="C357"/>
        <s v="C358"/>
        <s v="C359"/>
        <s v="C360"/>
        <s v="C361"/>
        <s v="C362"/>
        <s v="C363"/>
        <s v="C364"/>
        <s v="C365"/>
        <s v="C366"/>
        <s v="C367"/>
        <s v="C368"/>
        <s v="C369"/>
        <s v="C370"/>
        <s v="C371"/>
        <s v="C372"/>
        <s v="C373"/>
        <s v="C374"/>
        <s v="C375"/>
        <s v="C376"/>
        <s v="C377"/>
        <s v="C378"/>
        <s v="C379"/>
        <s v="C380"/>
        <s v="C381"/>
        <s v="C382"/>
        <s v="C383"/>
        <s v="C384"/>
        <s v="C385"/>
        <s v="C386"/>
        <s v="C387"/>
        <s v="C388"/>
        <s v="C389"/>
        <s v="C390"/>
        <s v="C391"/>
        <s v="C392"/>
        <s v="C393"/>
        <s v="C394"/>
        <s v="C395"/>
        <s v="C396"/>
        <s v="C397"/>
        <s v="C398"/>
        <s v="C399"/>
        <s v="C400"/>
        <s v="C401"/>
        <s v="C402"/>
        <s v="C403"/>
        <s v="C404"/>
        <s v="C405"/>
        <s v="C406"/>
        <s v="C407"/>
        <s v="C408"/>
        <s v="C409"/>
        <s v="C410"/>
        <s v="C411"/>
        <s v="C412"/>
        <s v="C413"/>
        <s v="C414"/>
        <s v="C415"/>
        <s v="C416"/>
        <s v="C417"/>
        <s v="C418"/>
        <s v="C419"/>
        <s v="C420"/>
        <s v="C421"/>
        <s v="C422"/>
        <s v="C423"/>
        <s v="C424"/>
        <s v="C425"/>
        <s v="C426"/>
        <s v="C427"/>
        <s v="C428"/>
        <s v="C429"/>
        <s v="C430"/>
        <s v="C431"/>
        <s v="C432"/>
        <s v="C433"/>
        <s v="C434"/>
        <s v="C435"/>
        <s v="C436"/>
        <s v="C437"/>
        <s v="C438"/>
        <s v="C439"/>
        <s v="C440"/>
        <s v="C441"/>
        <s v="C442"/>
        <s v="C443"/>
        <s v="C444"/>
        <s v="C445"/>
        <s v="C446"/>
        <s v="C447"/>
        <s v="C448"/>
        <s v="C449"/>
        <s v="C450"/>
        <s v="C451"/>
        <s v="C452"/>
        <s v="C453"/>
        <s v="C454"/>
        <s v="C455"/>
        <s v="C456"/>
        <s v="C457"/>
        <s v="C458"/>
        <s v="C459"/>
        <s v="C460"/>
        <s v="C461"/>
        <s v="C462"/>
        <s v="C463"/>
        <s v="C464"/>
        <s v="C465"/>
        <s v="C466"/>
        <s v="C467"/>
        <s v="C468"/>
        <s v="C469"/>
        <s v="C470"/>
        <s v="C471"/>
        <s v="C472"/>
        <s v="C473"/>
        <s v="C474"/>
        <s v="C475"/>
        <s v="C476"/>
        <s v="C477"/>
        <s v="C478"/>
        <s v="C479"/>
        <s v="C480"/>
        <s v="C481"/>
        <s v="C482"/>
        <s v="C483"/>
        <s v="C484"/>
        <s v="C485"/>
        <s v="C486"/>
        <s v="C487"/>
        <s v="C488"/>
        <s v="C489"/>
        <s v="C490"/>
        <s v="C491"/>
        <s v="C492"/>
        <s v="C493"/>
        <s v="C494"/>
        <s v="C495"/>
        <s v="C496"/>
        <s v="C497"/>
        <s v="C498"/>
        <s v="C499"/>
        <s v="C500"/>
        <s v="C501"/>
        <s v="C502"/>
        <s v="C503"/>
        <s v="C504"/>
        <s v="C505"/>
        <s v="C506"/>
        <s v="C507"/>
        <s v="C508"/>
        <s v="C509"/>
        <s v="C510"/>
        <s v="C511"/>
        <s v="C512"/>
        <s v="C513"/>
        <s v="C514"/>
        <s v="C515"/>
        <s v="C516"/>
        <s v="C517"/>
        <s v="C518"/>
        <s v="C519"/>
        <s v="C520"/>
        <s v="C521"/>
        <s v="C522"/>
        <s v="C523"/>
        <s v="C524"/>
        <s v="C525"/>
        <s v="C526"/>
        <s v="C527"/>
        <s v="C528"/>
        <s v="C529"/>
        <s v="C530"/>
        <s v="C531"/>
        <s v="C532"/>
        <s v="C533"/>
        <s v="C534"/>
        <s v="C535"/>
        <s v="C536"/>
        <s v="C537"/>
        <s v="C538"/>
        <s v="C539"/>
        <s v="C540"/>
        <s v="C541"/>
        <s v="C542"/>
        <s v="C543"/>
        <s v="C544"/>
        <s v="C545"/>
        <s v="C546"/>
        <s v="C547"/>
        <s v="C548"/>
        <s v="C549"/>
        <s v="C550"/>
        <s v="C551"/>
        <s v="C552"/>
        <s v="C553"/>
        <s v="C554"/>
        <s v="C555"/>
        <s v="C556"/>
        <s v="C557"/>
        <s v="C558"/>
        <s v="C559"/>
        <s v="C560"/>
        <s v="C561"/>
        <s v="C562"/>
        <s v="C563"/>
        <s v="C564"/>
        <s v="C565"/>
        <s v="C566"/>
        <s v="C567"/>
        <s v="C568"/>
        <s v="C569"/>
        <s v="C570"/>
        <s v="C571"/>
        <s v="C572"/>
        <s v="C573"/>
        <s v="C574"/>
        <s v="C575"/>
        <s v="C576"/>
        <s v="C577"/>
        <s v="C578"/>
        <s v="C579"/>
        <s v="C580"/>
        <s v="C581"/>
        <s v="C582"/>
        <s v="C583"/>
        <s v="C584"/>
        <s v="C585"/>
        <s v="C586"/>
        <s v="C587"/>
        <s v="C588"/>
        <s v="C589"/>
        <s v="C590"/>
        <s v="C591"/>
        <s v="C592"/>
        <s v="C593"/>
        <s v="C594"/>
        <s v="C595"/>
        <s v="C596"/>
        <s v="C597"/>
        <s v="C598"/>
        <s v="C599"/>
        <s v="C600"/>
        <s v="C601"/>
        <s v="C602"/>
        <s v="C603"/>
        <s v="C604"/>
        <s v="C605"/>
        <s v="C606"/>
        <s v="C607"/>
        <s v="C608"/>
        <s v="C609"/>
        <s v="C610"/>
        <s v="C611"/>
        <s v="C612"/>
        <s v="C613"/>
        <s v="C614"/>
        <s v="C615"/>
        <s v="C616"/>
        <s v="C617"/>
        <s v="C618"/>
        <s v="C619"/>
        <s v="C620"/>
        <s v="C621"/>
        <s v="C622"/>
        <s v="C623"/>
        <s v="C624"/>
        <s v="C625"/>
        <s v="C626"/>
        <s v="C627"/>
        <s v="C628"/>
        <s v="C629"/>
        <s v="C630"/>
        <s v="C631"/>
        <s v="C632"/>
        <s v="C633"/>
        <s v="C634"/>
        <s v="C635"/>
        <s v="C636"/>
        <s v="C637"/>
        <s v="C638"/>
        <s v="C639"/>
        <s v="C640"/>
        <s v="C641"/>
        <s v="C642"/>
        <s v="C643"/>
        <s v="C644"/>
        <s v="C645"/>
        <s v="C646"/>
        <s v="C647"/>
        <s v="C648"/>
        <s v="C649"/>
        <s v="C650"/>
        <s v="C651"/>
        <s v="C652"/>
        <s v="C653"/>
        <s v="C654"/>
        <s v="C655"/>
        <s v="C656"/>
        <s v="C657"/>
        <s v="C658"/>
        <s v="C659"/>
        <s v="C660"/>
        <s v="C661"/>
        <s v="C662"/>
        <s v="C663"/>
        <s v="C664"/>
        <s v="C665"/>
        <s v="C666"/>
        <s v="C667"/>
        <s v="C668"/>
        <s v="C669"/>
        <s v="C670"/>
        <s v="C671"/>
        <s v="C672"/>
        <s v="C673"/>
        <s v="C674"/>
        <s v="C675"/>
        <s v="C676"/>
        <s v="C677"/>
        <s v="C678"/>
        <s v="C679"/>
        <s v="C680"/>
        <s v="C681"/>
        <s v="C682"/>
        <s v="C683"/>
        <s v="C684"/>
        <s v="C685"/>
        <s v="C686"/>
        <s v="C687"/>
        <s v="C688"/>
        <s v="C689"/>
        <s v="C690"/>
        <s v="C691"/>
        <s v="C692"/>
        <s v="C693"/>
        <s v="C694"/>
        <s v="C695"/>
        <s v="C696"/>
        <s v="C697"/>
        <s v="C698"/>
        <s v="C699"/>
        <s v="C700"/>
        <s v="C701"/>
        <s v="C702"/>
        <s v="C703"/>
        <s v="C704"/>
        <s v="C705"/>
        <s v="C706"/>
        <s v="C707"/>
        <s v="C708"/>
        <s v="C709"/>
        <s v="C710"/>
        <s v="C711"/>
        <s v="C712"/>
        <s v="C713"/>
        <s v="C714"/>
        <s v="C715"/>
        <s v="C716"/>
        <s v="C717"/>
        <s v="C718"/>
        <s v="C719"/>
        <s v="C720"/>
        <s v="C721"/>
        <s v="C722"/>
        <s v="C723"/>
        <s v="C724"/>
        <s v="C725"/>
        <s v="C726"/>
        <s v="C727"/>
        <s v="C728"/>
        <s v="C729"/>
        <s v="C730"/>
        <s v="C731"/>
        <s v="C732"/>
        <s v="C733"/>
        <s v="C734"/>
        <s v="C735"/>
        <s v="C736"/>
        <s v="C737"/>
        <s v="C738"/>
        <s v="C739"/>
        <s v="C740"/>
        <s v="C741"/>
        <s v="C742"/>
        <s v="C743"/>
        <s v="C744"/>
        <s v="C745"/>
        <s v="C746"/>
        <s v="C747"/>
        <s v="C748"/>
        <s v="C749"/>
        <s v="C750"/>
        <s v="C751"/>
        <s v="C752"/>
        <s v="C753"/>
        <s v="C754"/>
        <s v="C755"/>
        <s v="C756"/>
        <s v="C757"/>
        <s v="C758"/>
        <s v="C759"/>
        <s v="C760"/>
        <s v="C761"/>
        <s v="C762"/>
        <s v="C763"/>
        <s v="C764"/>
        <s v="C765"/>
        <s v="C766"/>
        <s v="C767"/>
        <s v="C768"/>
        <s v="C769"/>
        <s v="C770"/>
        <s v="C771"/>
        <s v="C772"/>
        <s v="C773"/>
        <s v="C774"/>
        <s v="C775"/>
        <s v="C776"/>
        <s v="C777"/>
        <s v="C778"/>
        <s v="C779"/>
        <s v="C780"/>
        <s v="C781"/>
        <s v="C782"/>
        <s v="C783"/>
        <s v="C784"/>
        <s v="C785"/>
        <s v="C786"/>
        <s v="C787"/>
        <s v="C788"/>
        <s v="C789"/>
        <s v="C790"/>
        <s v="C791"/>
        <s v="C792"/>
        <s v="C793"/>
        <s v="C794"/>
        <s v="C795"/>
        <s v="C796"/>
        <s v="C797"/>
        <s v="C798"/>
        <s v="C799"/>
        <s v="C800"/>
        <s v="C801"/>
        <s v="C802"/>
        <s v="C803"/>
        <s v="C804"/>
        <s v="C805"/>
        <s v="C806"/>
        <s v="C807"/>
        <s v="C808"/>
        <s v="C809"/>
        <s v="C810"/>
        <s v="C811"/>
        <s v="C812"/>
        <s v="C813"/>
        <s v="C814"/>
        <s v="C815"/>
        <s v="C816"/>
        <s v="C817"/>
        <s v="C818"/>
        <s v="C819"/>
        <s v="C820"/>
        <s v="C821"/>
        <s v="C822"/>
        <s v="C823"/>
        <s v="C824"/>
        <s v="C825"/>
        <s v="C826"/>
        <s v="C827"/>
        <s v="C828"/>
        <s v="C829"/>
        <s v="C830"/>
        <s v="C831"/>
        <s v="C832"/>
        <s v="C833"/>
        <s v="C834"/>
        <s v="C835"/>
        <s v="C836"/>
        <s v="C837"/>
        <s v="C838"/>
        <s v="C839"/>
        <s v="C840"/>
        <s v="C841"/>
        <s v="C842"/>
        <s v="C843"/>
        <s v="C844"/>
        <s v="C845"/>
        <s v="C846"/>
        <s v="C847"/>
        <s v="C848"/>
        <s v="C849"/>
        <s v="C850"/>
        <s v="C851"/>
        <s v="C852"/>
        <s v="C853"/>
        <s v="C854"/>
        <s v="C855"/>
        <s v="C856"/>
        <s v="C857"/>
        <s v="C858"/>
        <s v="C859"/>
        <s v="C860"/>
        <s v="C861"/>
        <s v="C862"/>
        <s v="C863"/>
        <s v="C864"/>
        <s v="C865"/>
        <s v="C866"/>
        <s v="C867"/>
        <s v="C868"/>
        <s v="C869"/>
        <s v="C870"/>
        <s v="C871"/>
        <s v="C872"/>
        <s v="C873"/>
        <s v="C874"/>
        <s v="C875"/>
        <s v="C876"/>
        <s v="C877"/>
        <s v="C878"/>
        <s v="C879"/>
        <s v="C880"/>
        <s v="C881"/>
        <s v="C882"/>
        <s v="C883"/>
        <s v="C884"/>
        <s v="C885"/>
        <s v="C886"/>
        <s v="C887"/>
        <s v="C888"/>
        <s v="C889"/>
        <s v="C890"/>
        <s v="C891"/>
        <s v="C892"/>
        <s v="C893"/>
        <s v="C894"/>
        <s v="C895"/>
        <s v="C896"/>
        <s v="C897"/>
        <s v="C898"/>
        <s v="C899"/>
        <s v="C900"/>
        <s v="C901"/>
        <s v="C902"/>
        <s v="C903"/>
        <s v="C904"/>
        <s v="C905"/>
        <s v="C906"/>
        <s v="C907"/>
        <s v="C908"/>
        <s v="C909"/>
        <s v="C910"/>
        <s v="C911"/>
        <s v="C912"/>
        <s v="C913"/>
        <s v="C914"/>
        <s v="C915"/>
        <s v="C916"/>
        <s v="C917"/>
        <s v="C918"/>
        <s v="C919"/>
        <s v="C920"/>
        <s v="C921"/>
        <s v="C922"/>
        <s v="C923"/>
        <s v="C924"/>
        <s v="C925"/>
        <s v="C926"/>
        <s v="C927"/>
        <s v="C928"/>
        <s v="C929"/>
        <s v="C930"/>
        <s v="C931"/>
        <s v="C932"/>
        <s v="C933"/>
        <s v="C934"/>
        <s v="C935"/>
        <s v="C936"/>
        <s v="C937"/>
        <s v="C938"/>
        <s v="C939"/>
        <s v="C940"/>
        <s v="C941"/>
        <s v="C942"/>
        <s v="C943"/>
        <s v="C944"/>
        <s v="C945"/>
        <s v="C946"/>
        <s v="C947"/>
        <s v="C948"/>
        <s v="C949"/>
        <s v="C950"/>
        <s v="C951"/>
        <s v="C952"/>
        <s v="C953"/>
        <s v="C954"/>
        <s v="C955"/>
        <s v="C956"/>
        <s v="C957"/>
        <s v="C958"/>
        <s v="C959"/>
        <s v="C960"/>
        <s v="C961"/>
        <s v="C962"/>
        <s v="C963"/>
        <s v="C964"/>
        <s v="C965"/>
        <s v="C966"/>
        <s v="C967"/>
        <s v="C968"/>
        <s v="C969"/>
        <s v="C970"/>
        <s v="C971"/>
        <s v="C972"/>
        <s v="C973"/>
        <s v="C974"/>
        <s v="C975"/>
        <s v="C976"/>
        <s v="C977"/>
        <s v="C978"/>
        <s v="C979"/>
        <s v="C980"/>
        <s v="C981"/>
        <s v="C982"/>
        <s v="C983"/>
        <s v="C984"/>
        <s v="C985"/>
        <s v="C986"/>
        <s v="C987"/>
        <s v="C988"/>
        <s v="C989"/>
        <s v="C990"/>
        <s v="C991"/>
        <s v="C992"/>
        <s v="C993"/>
        <s v="C994"/>
        <s v="C995"/>
        <s v="C996"/>
        <s v="C997"/>
        <s v="C998"/>
        <s v="C999"/>
      </sharedItems>
    </cacheField>
    <cacheField name="customer name" numFmtId="0">
      <sharedItems>
        <s v="SRI"/>
        <s v="SHOBN"/>
        <s v="SOBI"/>
        <s v="SUJI"/>
        <s v="RATHA"/>
        <s v="SUSA"/>
        <s v="NIVE"/>
        <s v="VINO"/>
        <s v="ABI"/>
        <s v="NIHAAR"/>
      </sharedItems>
    </cacheField>
    <cacheField name="state" numFmtId="0">
      <sharedItems>
        <s v="TAMILNADU"/>
        <s v="KERALA"/>
        <s v="KARNATAKA"/>
        <s v="ANDHRA PRADESH"/>
        <s v="TELUGANA"/>
        <s v="UTTHRA PRADESH"/>
        <s v="GUJARAT"/>
        <s v="RAJASTHAN"/>
        <s v="WEST BENGAL"/>
        <s v="MAGARASTRA"/>
      </sharedItems>
    </cacheField>
    <cacheField name="city" numFmtId="0">
      <sharedItems>
        <s v="THOOTHUKUDI"/>
        <s v="KOCHI"/>
        <s v="BANGALURU"/>
        <s v="TIRUPATI"/>
        <s v="HYDERABAD"/>
        <s v="LUCKNOW"/>
        <s v="SURAT"/>
        <s v="JAIPUR"/>
        <s v="KOLKATA"/>
        <s v="PUNE"/>
      </sharedItems>
    </cacheField>
    <cacheField name="product id" numFmtId="0">
      <sharedItems>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 v="P061"/>
        <s v="P062"/>
        <s v="P063"/>
        <s v="P064"/>
        <s v="P065"/>
        <s v="P066"/>
        <s v="P067"/>
        <s v="P068"/>
        <s v="P069"/>
        <s v="P070"/>
        <s v="P071"/>
        <s v="P072"/>
        <s v="P073"/>
        <s v="P074"/>
        <s v="P075"/>
        <s v="P076"/>
        <s v="P077"/>
        <s v="P078"/>
        <s v="P079"/>
        <s v="P080"/>
        <s v="P081"/>
        <s v="P082"/>
        <s v="P083"/>
        <s v="P084"/>
        <s v="P085"/>
        <s v="P086"/>
        <s v="P087"/>
        <s v="P088"/>
        <s v="P089"/>
        <s v="P090"/>
        <s v="P091"/>
        <s v="P092"/>
        <s v="P093"/>
        <s v="P094"/>
        <s v="P095"/>
        <s v="P096"/>
        <s v="P097"/>
        <s v="P098"/>
        <s v="P099"/>
        <s v="P100"/>
        <s v="P101"/>
        <s v="P102"/>
        <s v="P103"/>
        <s v="P104"/>
        <s v="P105"/>
        <s v="P106"/>
        <s v="P107"/>
        <s v="P108"/>
        <s v="P109"/>
        <s v="P110"/>
        <s v="P111"/>
        <s v="P112"/>
        <s v="P113"/>
        <s v="P114"/>
        <s v="P115"/>
        <s v="P116"/>
        <s v="P117"/>
        <s v="P118"/>
        <s v="P119"/>
        <s v="P120"/>
        <s v="P121"/>
        <s v="P122"/>
        <s v="P123"/>
        <s v="P124"/>
        <s v="P125"/>
        <s v="P126"/>
        <s v="P127"/>
        <s v="P128"/>
        <s v="P129"/>
        <s v="P130"/>
        <s v="P131"/>
        <s v="P132"/>
        <s v="P133"/>
        <s v="P134"/>
        <s v="P135"/>
        <s v="P136"/>
        <s v="P137"/>
        <s v="P138"/>
        <s v="P139"/>
        <s v="P140"/>
        <s v="P141"/>
        <s v="P142"/>
        <s v="P143"/>
        <s v="P144"/>
        <s v="P145"/>
        <s v="P146"/>
        <s v="P147"/>
        <s v="P148"/>
        <s v="P149"/>
        <s v="P150"/>
        <s v="P151"/>
        <s v="P152"/>
        <s v="P153"/>
        <s v="P154"/>
        <s v="P155"/>
        <s v="P156"/>
        <s v="P157"/>
        <s v="P158"/>
        <s v="P159"/>
        <s v="P160"/>
        <s v="P161"/>
        <s v="P162"/>
        <s v="P163"/>
        <s v="P164"/>
        <s v="P165"/>
        <s v="P166"/>
        <s v="P167"/>
        <s v="P168"/>
        <s v="P169"/>
        <s v="P170"/>
        <s v="P171"/>
        <s v="P172"/>
        <s v="P173"/>
        <s v="P174"/>
        <s v="P175"/>
        <s v="P176"/>
        <s v="P177"/>
        <s v="P178"/>
        <s v="P179"/>
        <s v="P180"/>
        <s v="P181"/>
        <s v="P182"/>
        <s v="P183"/>
        <s v="P184"/>
        <s v="P185"/>
        <s v="P186"/>
        <s v="P187"/>
        <s v="P188"/>
        <s v="P189"/>
        <s v="P190"/>
        <s v="P191"/>
        <s v="P192"/>
        <s v="P193"/>
        <s v="P194"/>
        <s v="P195"/>
        <s v="P196"/>
        <s v="P197"/>
        <s v="P198"/>
        <s v="P199"/>
        <s v="P200"/>
        <s v="P201"/>
        <s v="P202"/>
        <s v="P203"/>
        <s v="P204"/>
        <s v="P205"/>
        <s v="P206"/>
        <s v="P207"/>
        <s v="P208"/>
        <s v="P209"/>
        <s v="P210"/>
        <s v="P211"/>
        <s v="P212"/>
        <s v="P213"/>
        <s v="P214"/>
        <s v="P215"/>
        <s v="P216"/>
        <s v="P217"/>
        <s v="P218"/>
        <s v="P219"/>
        <s v="P220"/>
        <s v="P221"/>
        <s v="P222"/>
        <s v="P223"/>
        <s v="P224"/>
        <s v="P225"/>
        <s v="P226"/>
        <s v="P227"/>
        <s v="P228"/>
        <s v="P229"/>
        <s v="P230"/>
        <s v="P231"/>
        <s v="P232"/>
        <s v="P233"/>
        <s v="P234"/>
        <s v="P235"/>
        <s v="P236"/>
        <s v="P237"/>
        <s v="P238"/>
        <s v="P239"/>
        <s v="P240"/>
        <s v="P241"/>
        <s v="P242"/>
        <s v="P243"/>
        <s v="P244"/>
        <s v="P245"/>
        <s v="P246"/>
        <s v="P247"/>
        <s v="P248"/>
        <s v="P249"/>
        <s v="P250"/>
        <s v="P251"/>
        <s v="P252"/>
        <s v="P253"/>
        <s v="P254"/>
        <s v="P255"/>
        <s v="P256"/>
        <s v="P257"/>
        <s v="P258"/>
        <s v="P259"/>
        <s v="P260"/>
        <s v="P261"/>
        <s v="P262"/>
        <s v="P263"/>
        <s v="P264"/>
        <s v="P265"/>
        <s v="P266"/>
        <s v="P267"/>
        <s v="P268"/>
        <s v="P269"/>
        <s v="P270"/>
        <s v="P271"/>
        <s v="P272"/>
        <s v="P273"/>
        <s v="P274"/>
        <s v="P275"/>
        <s v="P276"/>
        <s v="P277"/>
        <s v="P278"/>
        <s v="P279"/>
        <s v="P280"/>
        <s v="P281"/>
        <s v="P282"/>
        <s v="P283"/>
        <s v="P284"/>
        <s v="P285"/>
        <s v="P286"/>
        <s v="P287"/>
        <s v="P288"/>
        <s v="P289"/>
        <s v="P290"/>
        <s v="P291"/>
        <s v="P292"/>
        <s v="P293"/>
        <s v="P294"/>
        <s v="P295"/>
        <s v="P296"/>
        <s v="P297"/>
        <s v="P298"/>
        <s v="P299"/>
        <s v="P300"/>
        <s v="P301"/>
        <s v="P302"/>
        <s v="P303"/>
        <s v="P304"/>
        <s v="P305"/>
        <s v="P306"/>
        <s v="P307"/>
        <s v="P308"/>
        <s v="P309"/>
        <s v="P310"/>
        <s v="P311"/>
        <s v="P312"/>
        <s v="P313"/>
        <s v="P314"/>
        <s v="P315"/>
        <s v="P316"/>
        <s v="P317"/>
        <s v="P318"/>
        <s v="P319"/>
        <s v="P320"/>
        <s v="P321"/>
        <s v="P322"/>
        <s v="P323"/>
        <s v="P324"/>
        <s v="P325"/>
        <s v="P326"/>
        <s v="P327"/>
        <s v="P328"/>
        <s v="P329"/>
        <s v="P330"/>
        <s v="P331"/>
        <s v="P332"/>
        <s v="P333"/>
        <s v="P334"/>
        <s v="P335"/>
        <s v="P336"/>
        <s v="P337"/>
        <s v="P338"/>
        <s v="P339"/>
        <s v="P340"/>
        <s v="P341"/>
        <s v="P342"/>
        <s v="P343"/>
        <s v="P344"/>
        <s v="P345"/>
        <s v="P346"/>
        <s v="P347"/>
        <s v="P348"/>
        <s v="P349"/>
        <s v="P350"/>
        <s v="P351"/>
        <s v="P352"/>
        <s v="P353"/>
        <s v="P354"/>
        <s v="P355"/>
        <s v="P356"/>
        <s v="P357"/>
        <s v="P358"/>
        <s v="P359"/>
        <s v="P360"/>
        <s v="P361"/>
        <s v="P362"/>
        <s v="P363"/>
        <s v="P364"/>
        <s v="P365"/>
        <s v="P366"/>
        <s v="P367"/>
        <s v="P368"/>
        <s v="P369"/>
        <s v="P370"/>
        <s v="P371"/>
        <s v="P372"/>
        <s v="P373"/>
        <s v="P374"/>
        <s v="P375"/>
        <s v="P376"/>
        <s v="P377"/>
        <s v="P378"/>
        <s v="P379"/>
        <s v="P380"/>
        <s v="P381"/>
        <s v="P382"/>
        <s v="P383"/>
        <s v="P384"/>
        <s v="P385"/>
        <s v="P386"/>
        <s v="P387"/>
        <s v="P388"/>
        <s v="P389"/>
        <s v="P390"/>
        <s v="P391"/>
        <s v="P392"/>
        <s v="P393"/>
        <s v="P394"/>
        <s v="P395"/>
        <s v="P396"/>
        <s v="P397"/>
        <s v="P398"/>
        <s v="P399"/>
        <s v="P400"/>
        <s v="P401"/>
        <s v="P402"/>
        <s v="P403"/>
        <s v="P404"/>
        <s v="P405"/>
        <s v="P406"/>
        <s v="P407"/>
        <s v="P408"/>
        <s v="P409"/>
        <s v="P410"/>
        <s v="P411"/>
        <s v="P412"/>
        <s v="P413"/>
        <s v="P414"/>
        <s v="P415"/>
        <s v="P416"/>
        <s v="P417"/>
        <s v="P418"/>
        <s v="P419"/>
        <s v="P420"/>
        <s v="P421"/>
        <s v="P422"/>
        <s v="P423"/>
        <s v="P424"/>
        <s v="P425"/>
        <s v="P426"/>
        <s v="P427"/>
        <s v="P428"/>
        <s v="P429"/>
        <s v="P430"/>
        <s v="P431"/>
        <s v="P432"/>
        <s v="P433"/>
        <s v="P434"/>
        <s v="P435"/>
        <s v="P436"/>
        <s v="P437"/>
        <s v="P438"/>
        <s v="P439"/>
        <s v="P440"/>
        <s v="P441"/>
        <s v="P442"/>
        <s v="P443"/>
        <s v="P444"/>
        <s v="P445"/>
        <s v="P446"/>
        <s v="P447"/>
        <s v="P448"/>
        <s v="P449"/>
        <s v="P450"/>
        <s v="P451"/>
        <s v="P452"/>
        <s v="P453"/>
        <s v="P454"/>
        <s v="P455"/>
        <s v="P456"/>
        <s v="P457"/>
        <s v="P458"/>
        <s v="P459"/>
        <s v="P460"/>
        <s v="P461"/>
        <s v="P462"/>
        <s v="P463"/>
        <s v="P464"/>
        <s v="P465"/>
        <s v="P466"/>
        <s v="P467"/>
        <s v="P468"/>
        <s v="P469"/>
        <s v="P470"/>
        <s v="P471"/>
        <s v="P472"/>
        <s v="P473"/>
        <s v="P474"/>
        <s v="P475"/>
        <s v="P476"/>
        <s v="P477"/>
        <s v="P478"/>
        <s v="P479"/>
        <s v="P480"/>
        <s v="P481"/>
        <s v="P482"/>
        <s v="P483"/>
        <s v="P484"/>
        <s v="P485"/>
        <s v="P486"/>
        <s v="P487"/>
        <s v="P488"/>
        <s v="P489"/>
        <s v="P490"/>
        <s v="P491"/>
        <s v="P492"/>
        <s v="P493"/>
        <s v="P494"/>
        <s v="P495"/>
        <s v="P496"/>
        <s v="P497"/>
        <s v="P498"/>
        <s v="P499"/>
        <s v="P500"/>
        <s v="P501"/>
        <s v="P502"/>
        <s v="P503"/>
        <s v="P504"/>
        <s v="P505"/>
        <s v="P506"/>
        <s v="P507"/>
        <s v="P508"/>
        <s v="P509"/>
        <s v="P510"/>
        <s v="P511"/>
        <s v="P512"/>
        <s v="P513"/>
        <s v="P514"/>
        <s v="P515"/>
        <s v="P516"/>
        <s v="P517"/>
        <s v="P518"/>
        <s v="P519"/>
        <s v="P520"/>
        <s v="P521"/>
        <s v="P522"/>
        <s v="P523"/>
        <s v="P524"/>
        <s v="P525"/>
        <s v="P526"/>
        <s v="P527"/>
        <s v="P528"/>
        <s v="P529"/>
        <s v="P530"/>
        <s v="P531"/>
        <s v="P532"/>
        <s v="P533"/>
        <s v="P534"/>
        <s v="P535"/>
        <s v="P536"/>
        <s v="P537"/>
        <s v="P538"/>
        <s v="P539"/>
        <s v="P540"/>
        <s v="P541"/>
        <s v="P542"/>
        <s v="P543"/>
        <s v="P544"/>
        <s v="P545"/>
        <s v="P546"/>
        <s v="P547"/>
        <s v="P548"/>
        <s v="P549"/>
        <s v="P550"/>
        <s v="P551"/>
        <s v="P552"/>
        <s v="P553"/>
        <s v="P554"/>
        <s v="P555"/>
        <s v="P556"/>
        <s v="P557"/>
        <s v="P558"/>
        <s v="P559"/>
        <s v="P560"/>
        <s v="P561"/>
        <s v="P562"/>
        <s v="P563"/>
        <s v="P564"/>
        <s v="P565"/>
        <s v="P566"/>
        <s v="P567"/>
        <s v="P568"/>
        <s v="P569"/>
        <s v="P570"/>
        <s v="P571"/>
        <s v="P572"/>
        <s v="P573"/>
        <s v="P574"/>
        <s v="P575"/>
        <s v="P576"/>
        <s v="P577"/>
        <s v="P578"/>
        <s v="P579"/>
        <s v="P580"/>
        <s v="P581"/>
        <s v="P582"/>
        <s v="P583"/>
        <s v="P584"/>
        <s v="P585"/>
        <s v="P586"/>
        <s v="P587"/>
        <s v="P588"/>
        <s v="P589"/>
        <s v="P590"/>
        <s v="P591"/>
        <s v="P592"/>
        <s v="P593"/>
        <s v="P594"/>
        <s v="P595"/>
        <s v="P596"/>
        <s v="P597"/>
        <s v="P598"/>
        <s v="P599"/>
        <s v="P600"/>
        <s v="P601"/>
        <s v="P602"/>
        <s v="P603"/>
        <s v="P604"/>
        <s v="P605"/>
        <s v="P606"/>
        <s v="P607"/>
        <s v="P608"/>
        <s v="P609"/>
        <s v="P610"/>
        <s v="P611"/>
        <s v="P612"/>
        <s v="P613"/>
        <s v="P614"/>
        <s v="P615"/>
        <s v="P616"/>
        <s v="P617"/>
        <s v="P618"/>
        <s v="P619"/>
        <s v="P620"/>
        <s v="P621"/>
        <s v="P622"/>
        <s v="P623"/>
        <s v="P624"/>
        <s v="P625"/>
        <s v="P626"/>
        <s v="P627"/>
        <s v="P628"/>
        <s v="P629"/>
        <s v="P630"/>
        <s v="P631"/>
        <s v="P632"/>
        <s v="P633"/>
        <s v="P634"/>
        <s v="P635"/>
        <s v="P636"/>
        <s v="P637"/>
        <s v="P638"/>
        <s v="P639"/>
        <s v="P640"/>
        <s v="P641"/>
        <s v="P642"/>
        <s v="P643"/>
        <s v="P644"/>
        <s v="P645"/>
        <s v="P646"/>
        <s v="P647"/>
        <s v="P648"/>
        <s v="P649"/>
        <s v="P650"/>
        <s v="P651"/>
        <s v="P652"/>
        <s v="P653"/>
        <s v="P654"/>
        <s v="P655"/>
        <s v="P656"/>
        <s v="P657"/>
        <s v="P658"/>
        <s v="P659"/>
        <s v="P660"/>
        <s v="P661"/>
        <s v="P662"/>
        <s v="P663"/>
        <s v="P664"/>
        <s v="P665"/>
        <s v="P666"/>
        <s v="P667"/>
        <s v="P668"/>
        <s v="P669"/>
        <s v="P670"/>
        <s v="P671"/>
        <s v="P672"/>
        <s v="P673"/>
        <s v="P674"/>
        <s v="P675"/>
        <s v="P676"/>
        <s v="P677"/>
        <s v="P678"/>
        <s v="P679"/>
        <s v="P680"/>
        <s v="P681"/>
        <s v="P682"/>
        <s v="P683"/>
        <s v="P684"/>
        <s v="P685"/>
        <s v="P686"/>
        <s v="P687"/>
        <s v="P688"/>
        <s v="P689"/>
        <s v="P690"/>
        <s v="P691"/>
        <s v="P692"/>
        <s v="P693"/>
        <s v="P694"/>
        <s v="P695"/>
        <s v="P696"/>
        <s v="P697"/>
        <s v="P698"/>
        <s v="P699"/>
        <s v="P700"/>
        <s v="P701"/>
        <s v="P702"/>
        <s v="P703"/>
        <s v="P704"/>
        <s v="P705"/>
        <s v="P706"/>
        <s v="P707"/>
        <s v="P708"/>
        <s v="P709"/>
        <s v="P710"/>
        <s v="P711"/>
        <s v="P712"/>
        <s v="P713"/>
        <s v="P714"/>
        <s v="P715"/>
        <s v="P716"/>
        <s v="P717"/>
        <s v="P718"/>
        <s v="P719"/>
        <s v="P720"/>
        <s v="P721"/>
        <s v="P722"/>
        <s v="P723"/>
        <s v="P724"/>
        <s v="P725"/>
        <s v="P726"/>
        <s v="P727"/>
        <s v="P728"/>
        <s v="P729"/>
        <s v="P730"/>
        <s v="P731"/>
        <s v="P732"/>
        <s v="P733"/>
        <s v="P734"/>
        <s v="P735"/>
        <s v="P736"/>
        <s v="P737"/>
        <s v="P738"/>
        <s v="P739"/>
        <s v="P740"/>
        <s v="P741"/>
        <s v="P742"/>
        <s v="P743"/>
        <s v="P744"/>
        <s v="P745"/>
        <s v="P746"/>
        <s v="P747"/>
        <s v="P748"/>
        <s v="P749"/>
        <s v="P750"/>
        <s v="P751"/>
        <s v="P752"/>
        <s v="P753"/>
        <s v="P754"/>
        <s v="P755"/>
        <s v="P756"/>
        <s v="P757"/>
        <s v="P758"/>
        <s v="P759"/>
        <s v="P760"/>
        <s v="P761"/>
        <s v="P762"/>
        <s v="P763"/>
        <s v="P764"/>
        <s v="P765"/>
        <s v="P766"/>
        <s v="P767"/>
        <s v="P768"/>
        <s v="P769"/>
        <s v="P770"/>
        <s v="P771"/>
        <s v="P772"/>
        <s v="P773"/>
        <s v="P774"/>
        <s v="P775"/>
        <s v="P776"/>
        <s v="P777"/>
        <s v="P778"/>
        <s v="P779"/>
        <s v="P780"/>
        <s v="P781"/>
        <s v="P782"/>
        <s v="P783"/>
        <s v="P784"/>
        <s v="P785"/>
        <s v="P786"/>
        <s v="P787"/>
        <s v="P788"/>
        <s v="P789"/>
        <s v="P790"/>
        <s v="P791"/>
        <s v="P792"/>
        <s v="P793"/>
        <s v="P794"/>
        <s v="P795"/>
        <s v="P796"/>
        <s v="P797"/>
        <s v="P798"/>
        <s v="P799"/>
        <s v="P800"/>
        <s v="P801"/>
        <s v="P802"/>
        <s v="P803"/>
        <s v="P804"/>
        <s v="P805"/>
        <s v="P806"/>
        <s v="P807"/>
        <s v="P808"/>
        <s v="P809"/>
        <s v="P810"/>
        <s v="P811"/>
        <s v="P812"/>
        <s v="P813"/>
        <s v="P814"/>
        <s v="P815"/>
        <s v="P816"/>
        <s v="P817"/>
        <s v="P818"/>
        <s v="P819"/>
        <s v="P820"/>
        <s v="P821"/>
        <s v="P822"/>
        <s v="P823"/>
        <s v="P824"/>
        <s v="P825"/>
        <s v="P826"/>
        <s v="P827"/>
        <s v="P828"/>
        <s v="P829"/>
        <s v="P830"/>
        <s v="P831"/>
        <s v="P832"/>
        <s v="P833"/>
        <s v="P834"/>
        <s v="P835"/>
        <s v="P836"/>
        <s v="P837"/>
        <s v="P838"/>
        <s v="P839"/>
        <s v="P840"/>
        <s v="P841"/>
        <s v="P842"/>
        <s v="P843"/>
        <s v="P844"/>
        <s v="P845"/>
        <s v="P846"/>
        <s v="P847"/>
        <s v="P848"/>
        <s v="P849"/>
        <s v="P850"/>
        <s v="P851"/>
        <s v="P852"/>
        <s v="P853"/>
        <s v="P854"/>
        <s v="P855"/>
        <s v="P856"/>
        <s v="P857"/>
        <s v="P858"/>
        <s v="P859"/>
        <s v="P860"/>
        <s v="P861"/>
        <s v="P862"/>
        <s v="P863"/>
        <s v="P864"/>
        <s v="P865"/>
        <s v="P866"/>
        <s v="P867"/>
        <s v="P868"/>
        <s v="P869"/>
        <s v="P870"/>
        <s v="P871"/>
        <s v="P872"/>
        <s v="P873"/>
        <s v="P874"/>
        <s v="P875"/>
        <s v="P876"/>
        <s v="P877"/>
        <s v="P878"/>
        <s v="P879"/>
        <s v="P880"/>
        <s v="P881"/>
        <s v="P882"/>
        <s v="P883"/>
        <s v="P884"/>
        <s v="P885"/>
        <s v="P886"/>
        <s v="P887"/>
        <s v="P888"/>
        <s v="P889"/>
        <s v="P890"/>
        <s v="P891"/>
        <s v="P892"/>
        <s v="P893"/>
        <s v="P894"/>
        <s v="P895"/>
        <s v="P896"/>
        <s v="P897"/>
        <s v="P898"/>
        <s v="P899"/>
        <s v="P900"/>
        <s v="P901"/>
        <s v="P902"/>
        <s v="P903"/>
        <s v="P904"/>
        <s v="P905"/>
        <s v="P906"/>
        <s v="P907"/>
        <s v="P908"/>
        <s v="P909"/>
        <s v="P910"/>
        <s v="P911"/>
        <s v="P912"/>
        <s v="P913"/>
        <s v="P914"/>
        <s v="P915"/>
        <s v="P916"/>
        <s v="P917"/>
        <s v="P918"/>
        <s v="P919"/>
        <s v="P920"/>
        <s v="P921"/>
        <s v="P922"/>
        <s v="P923"/>
        <s v="P924"/>
        <s v="P925"/>
        <s v="P926"/>
        <s v="P927"/>
        <s v="P928"/>
        <s v="P929"/>
        <s v="P930"/>
        <s v="P931"/>
        <s v="P932"/>
        <s v="P933"/>
        <s v="P934"/>
        <s v="P935"/>
        <s v="P936"/>
        <s v="P937"/>
        <s v="P938"/>
        <s v="P939"/>
        <s v="P940"/>
        <s v="P941"/>
        <s v="P942"/>
        <s v="P943"/>
        <s v="P944"/>
        <s v="P945"/>
        <s v="P946"/>
        <s v="P947"/>
        <s v="P948"/>
        <s v="P949"/>
        <s v="P950"/>
        <s v="P951"/>
        <s v="P952"/>
        <s v="P953"/>
        <s v="P954"/>
        <s v="P955"/>
        <s v="P956"/>
        <s v="P957"/>
        <s v="P958"/>
        <s v="P959"/>
        <s v="P960"/>
        <s v="P961"/>
        <s v="P962"/>
        <s v="P963"/>
        <s v="P964"/>
        <s v="P965"/>
        <s v="P966"/>
        <s v="P967"/>
        <s v="P968"/>
        <s v="P969"/>
        <s v="P970"/>
        <s v="P971"/>
        <s v="P972"/>
        <s v="P973"/>
        <s v="P974"/>
        <s v="P975"/>
        <s v="P976"/>
        <s v="P977"/>
        <s v="P978"/>
        <s v="P979"/>
        <s v="P980"/>
        <s v="P981"/>
        <s v="P982"/>
        <s v="P983"/>
        <s v="P984"/>
        <s v="P985"/>
        <s v="P986"/>
        <s v="P987"/>
        <s v="P988"/>
        <s v="P989"/>
        <s v="P990"/>
        <s v="P991"/>
        <s v="P992"/>
        <s v="P993"/>
        <s v="P994"/>
        <s v="P995"/>
        <s v="P996"/>
        <s v="P997"/>
        <s v="P998"/>
        <s v="P999"/>
      </sharedItems>
    </cacheField>
    <cacheField name="product name" numFmtId="0">
      <sharedItems>
        <s v="ACCESSORIES"/>
        <s v="ELECTRONICS"/>
        <s v="SPORTS"/>
        <s v="FOOD"/>
        <s v="DRESS"/>
        <s v="BEAUTY"/>
        <s v="HOME &amp; KITCHEN"/>
        <s v="BOOKS"/>
      </sharedItems>
    </cacheField>
    <cacheField name="category" numFmtId="0">
      <sharedItems>
        <s v="EARRINGS"/>
        <s v="WIRELESS EARBUDS"/>
        <s v="FOOTBALL"/>
        <s v="BIRIYANI"/>
        <s v="WOMEN WAERS"/>
        <s v="KAJAL"/>
        <s v="MIXER GRAINDER"/>
        <s v="LIFE OF PI"/>
      </sharedItems>
    </cacheField>
    <cacheField name="quantity" numFmtId="0">
      <sharedItems containsSemiMixedTypes="0" containsString="0" containsNumber="1" containsInteger="1">
        <n v="2.0"/>
        <n v="4.0"/>
        <n v="1.0"/>
        <n v="3.0"/>
        <n v="5.0"/>
      </sharedItems>
    </cacheField>
    <cacheField name="unit price" numFmtId="0">
      <sharedItems containsSemiMixedTypes="0" containsString="0" containsNumber="1" containsInteger="1">
        <n v="598.0"/>
        <n v="457.0"/>
        <n v="539.0"/>
        <n v="567.0"/>
        <n v="542.0"/>
        <n v="545.0"/>
        <n v="431.0"/>
        <n v="502.0"/>
        <n v="226.0"/>
        <n v="166.0"/>
        <n v="229.0"/>
        <n v="425.0"/>
        <n v="540.0"/>
        <n v="344.0"/>
        <n v="519.0"/>
        <n v="273.0"/>
        <n v="250.0"/>
        <n v="461.0"/>
        <n v="165.0"/>
        <n v="529.0"/>
        <n v="583.0"/>
        <n v="315.0"/>
        <n v="566.0"/>
        <n v="329.0"/>
        <n v="300.0"/>
        <n v="491.0"/>
        <n v="205.0"/>
        <n v="573.0"/>
        <n v="190.0"/>
        <n v="147.0"/>
        <n v="152.0"/>
        <n v="242.0"/>
        <n v="361.0"/>
        <n v="155.0"/>
        <n v="123.0"/>
        <n v="294.0"/>
        <n v="133.0"/>
        <n v="313.0"/>
        <n v="462.0"/>
        <n v="484.0"/>
        <n v="196.0"/>
        <n v="383.0"/>
        <n v="180.0"/>
        <n v="104.0"/>
        <n v="332.0"/>
        <n v="364.0"/>
        <n v="261.0"/>
        <n v="531.0"/>
        <n v="546.0"/>
        <n v="389.0"/>
        <n v="458.0"/>
        <n v="394.0"/>
        <n v="270.0"/>
        <n v="399.0"/>
        <n v="305.0"/>
        <n v="325.0"/>
        <n v="415.0"/>
        <n v="429.0"/>
        <n v="266.0"/>
        <n v="145.0"/>
        <n v="362.0"/>
        <n v="172.0"/>
        <n v="105.0"/>
        <n v="460.0"/>
        <n v="157.0"/>
        <n v="227.0"/>
        <n v="385.0"/>
        <n v="375.0"/>
        <n v="575.0"/>
        <n v="526.0"/>
        <n v="343.0"/>
        <n v="289.0"/>
        <n v="276.0"/>
        <n v="285.0"/>
        <n v="296.0"/>
        <n v="555.0"/>
        <n v="183.0"/>
        <n v="262.0"/>
        <n v="271.0"/>
        <n v="324.0"/>
        <n v="453.0"/>
        <n v="557.0"/>
        <n v="282.0"/>
        <n v="412.0"/>
        <n v="235.0"/>
        <n v="488.0"/>
        <n v="589.0"/>
        <n v="323.0"/>
        <n v="345.0"/>
        <n v="269.0"/>
        <n v="593.0"/>
        <n v="341.0"/>
        <n v="148.0"/>
        <n v="218.0"/>
        <n v="422.0"/>
        <n v="204.0"/>
        <n v="113.0"/>
        <n v="427.0"/>
        <n v="436.0"/>
        <n v="328.0"/>
        <n v="562.0"/>
        <n v="496.0"/>
        <n v="164.0"/>
        <n v="505.0"/>
        <n v="437.0"/>
        <n v="574.0"/>
        <n v="258.0"/>
        <n v="237.0"/>
        <n v="245.0"/>
        <n v="275.0"/>
        <n v="369.0"/>
        <n v="430.0"/>
        <n v="200.0"/>
        <n v="537.0"/>
        <n v="372.0"/>
        <n v="287.0"/>
        <n v="432.0"/>
        <n v="478.0"/>
        <n v="114.0"/>
        <n v="366.0"/>
        <n v="357.0"/>
        <n v="138.0"/>
        <n v="144.0"/>
        <n v="490.0"/>
        <n v="293.0"/>
        <n v="292.0"/>
        <n v="483.0"/>
        <n v="336.0"/>
        <n v="538.0"/>
        <n v="423.0"/>
        <n v="552.0"/>
        <n v="199.0"/>
        <n v="137.0"/>
        <n v="426.0"/>
        <n v="101.0"/>
        <n v="407.0"/>
        <n v="421.0"/>
        <n v="103.0"/>
        <n v="241.0"/>
        <n v="468.0"/>
        <n v="504.0"/>
        <n v="209.0"/>
        <n v="516.0"/>
        <n v="558.0"/>
        <n v="314.0"/>
        <n v="588.0"/>
        <n v="551.0"/>
        <n v="188.0"/>
        <n v="370.0"/>
        <n v="450.0"/>
        <n v="121.0"/>
        <n v="363.0"/>
        <n v="277.0"/>
        <n v="128.0"/>
        <n v="239.0"/>
        <n v="319.0"/>
        <n v="599.0"/>
        <n v="248.0"/>
        <n v="535.0"/>
        <n v="153.0"/>
        <n v="553.0"/>
        <n v="503.0"/>
        <n v="446.0"/>
        <n v="295.0"/>
        <n v="192.0"/>
        <n v="482.0"/>
        <n v="327.0"/>
        <n v="122.0"/>
        <n v="532.0"/>
        <n v="550.0"/>
        <n v="576.0"/>
        <n v="493.0"/>
        <n v="210.0"/>
        <n v="445.0"/>
        <n v="497.0"/>
        <n v="288.0"/>
        <n v="435.0"/>
        <n v="272.0"/>
        <n v="154.0"/>
        <n v="339.0"/>
        <n v="302.0"/>
        <n v="485.0"/>
        <n v="416.0"/>
        <n v="139.0"/>
        <n v="308.0"/>
        <n v="117.0"/>
        <n v="571.0"/>
        <n v="208.0"/>
        <n v="116.0"/>
        <n v="203.0"/>
        <n v="334.0"/>
        <n v="396.0"/>
        <n v="163.0"/>
        <n v="499.0"/>
        <n v="352.0"/>
        <n v="563.0"/>
        <n v="140.0"/>
        <n v="151.0"/>
        <n v="167.0"/>
        <n v="231.0"/>
        <n v="179.0"/>
        <n v="514.0"/>
        <n v="149.0"/>
        <n v="596.0"/>
        <n v="438.0"/>
        <n v="284.0"/>
        <n v="371.0"/>
        <n v="379.0"/>
        <n v="322.0"/>
        <n v="525.0"/>
        <n v="206.0"/>
        <n v="228.0"/>
        <n v="479.0"/>
        <n v="211.0"/>
        <n v="331.0"/>
        <n v="448.0"/>
        <n v="131.0"/>
        <n v="135.0"/>
        <n v="330.0"/>
        <n v="150.0"/>
        <n v="247.0"/>
        <n v="244.0"/>
        <n v="143.0"/>
        <n v="507.0"/>
        <n v="326.0"/>
        <n v="418.0"/>
        <n v="321.0"/>
        <n v="159.0"/>
        <n v="246.0"/>
        <n v="449.0"/>
        <n v="470.0"/>
        <n v="428.0"/>
        <n v="592.0"/>
        <n v="232.0"/>
        <n v="520.0"/>
        <n v="223.0"/>
        <n v="579.0"/>
        <n v="481.0"/>
        <n v="419.0"/>
        <n v="386.0"/>
        <n v="304.0"/>
        <n v="158.0"/>
        <n v="533.0"/>
        <n v="397.0"/>
        <n v="582.0"/>
        <n v="238.0"/>
        <n v="337.0"/>
        <n v="340.0"/>
        <n v="570.0"/>
        <n v="178.0"/>
        <n v="267.0"/>
        <n v="492.0"/>
        <n v="115.0"/>
        <n v="283.0"/>
        <n v="387.0"/>
        <n v="220.0"/>
        <n v="513.0"/>
        <n v="406.0"/>
        <n v="320.0"/>
        <n v="515.0"/>
        <n v="100.0"/>
        <n v="112.0"/>
        <n v="523.0"/>
        <n v="297.0"/>
        <n v="184.0"/>
        <n v="342.0"/>
        <n v="351.0"/>
        <n v="260.0"/>
        <n v="587.0"/>
        <n v="136.0"/>
        <n v="126.0"/>
        <n v="368.0"/>
        <n v="221.0"/>
        <n v="381.0"/>
        <n v="118.0"/>
        <n v="543.0"/>
        <n v="134.0"/>
        <n v="594.0"/>
        <n v="471.0"/>
        <n v="536.0"/>
        <n v="591.0"/>
        <n v="597.0"/>
        <n v="600.0"/>
        <n v="473.0"/>
        <n v="195.0"/>
        <n v="376.0"/>
        <n v="215.0"/>
        <n v="586.0"/>
        <n v="333.0"/>
        <n v="177.0"/>
        <n v="346.0"/>
        <n v="317.0"/>
        <n v="213.0"/>
        <n v="252.0"/>
        <n v="360.0"/>
        <n v="174.0"/>
        <n v="312.0"/>
        <n v="254.0"/>
        <n v="464.0"/>
        <n v="398.0"/>
        <n v="527.0"/>
        <n v="451.0"/>
        <n v="456.0"/>
        <n v="127.0"/>
        <n v="544.0"/>
        <n v="120.0"/>
        <n v="402.0"/>
        <n v="413.0"/>
        <n v="255.0"/>
        <n v="452.0"/>
        <n v="162.0"/>
        <n v="564.0"/>
        <n v="565.0"/>
        <n v="307.0"/>
        <n v="129.0"/>
        <n v="554.0"/>
        <n v="187.0"/>
        <n v="119.0"/>
        <n v="390.0"/>
        <n v="508.0"/>
        <n v="556.0"/>
        <n v="444.0"/>
        <n v="400.0"/>
        <n v="291.0"/>
        <n v="290.0"/>
        <n v="350.0"/>
        <n v="489.0"/>
        <n v="498.0"/>
        <n v="263.0"/>
        <n v="224.0"/>
        <n v="335.0"/>
        <n v="374.0"/>
        <n v="265.0"/>
        <n v="595.0"/>
        <n v="318.0"/>
        <n v="405.0"/>
        <n v="403.0"/>
        <n v="130.0"/>
        <n v="217.0"/>
        <n v="477.0"/>
        <n v="171.0"/>
        <n v="417.0"/>
        <n v="590.0"/>
        <n v="581.0"/>
        <n v="191.0"/>
        <n v="132.0"/>
        <n v="500.0"/>
        <n v="278.0"/>
        <n v="424.0"/>
        <n v="160.0"/>
        <n v="455.0"/>
        <n v="236.0"/>
        <n v="107.0"/>
        <n v="408.0"/>
        <n v="298.0"/>
        <n v="161.0"/>
        <n v="440.0"/>
        <n v="299.0"/>
        <n v="201.0"/>
        <n v="401.0"/>
        <n v="214.0"/>
        <n v="506.0"/>
        <n v="349.0"/>
        <n v="393.0"/>
        <n v="169.0"/>
        <n v="475.0"/>
        <n v="309.0"/>
        <n v="410.0"/>
        <n v="348.0"/>
        <n v="264.0"/>
        <n v="578.0"/>
        <n v="569.0"/>
        <n v="251.0"/>
        <n v="467.0"/>
        <n v="442.0"/>
        <n v="443.0"/>
        <n v="522.0"/>
        <n v="219.0"/>
        <n v="378.0"/>
        <n v="125.0"/>
        <n v="182.0"/>
        <n v="316.0"/>
        <n v="355.0"/>
        <n v="233.0"/>
        <n v="560.0"/>
        <n v="373.0"/>
        <n v="186.0"/>
        <n v="494.0"/>
        <n v="447.0"/>
        <n v="395.0"/>
        <n v="216.0"/>
        <n v="281.0"/>
        <n v="176.0"/>
        <n v="280.0"/>
        <n v="459.0"/>
        <n v="106.0"/>
        <n v="234.0"/>
        <n v="185.0"/>
        <n v="256.0"/>
        <n v="524.0"/>
        <n v="454.0"/>
        <n v="367.0"/>
        <n v="487.0"/>
        <n v="377.0"/>
        <n v="168.0"/>
        <n v="465.0"/>
        <n v="102.0"/>
        <n v="198.0"/>
        <n v="253.0"/>
        <n v="510.0"/>
        <n v="268.0"/>
        <n v="311.0"/>
        <n v="358.0"/>
        <n v="572.0"/>
        <n v="388.0"/>
        <n v="279.0"/>
        <n v="414.0"/>
        <n v="356.0"/>
        <n v="274.0"/>
        <n v="409.0"/>
        <n v="175.0"/>
        <n v="476.0"/>
        <n v="142.0"/>
        <n v="225.0"/>
        <n v="359.0"/>
      </sharedItems>
    </cacheField>
    <cacheField name="discount" numFmtId="9">
      <sharedItems containsSemiMixedTypes="0" containsString="0" containsNumber="1">
        <n v="0.1"/>
        <n v="0.17"/>
        <n v="0.0"/>
        <n v="0.15"/>
        <n v="0.5"/>
        <n v="0.2"/>
      </sharedItems>
    </cacheField>
    <cacheField name="sales" numFmtId="0">
      <sharedItems containsSemiMixedTypes="0" containsString="0" containsNumber="1">
        <n v="1076.4"/>
        <n v="1517.24"/>
        <n v="539.0"/>
        <n v="1530.9"/>
        <n v="975.6"/>
        <n v="2316.25"/>
        <n v="1293.0"/>
        <n v="416.65999999999997"/>
        <n v="678.0"/>
        <n v="282.2"/>
        <n v="229.0"/>
        <n v="765.0"/>
        <n v="1620.0"/>
        <n v="1100.8"/>
        <n v="934.2"/>
        <n v="696.15"/>
        <n v="450.0"/>
        <n v="1475.2"/>
        <n v="273.9"/>
        <n v="1062.5"/>
        <n v="737.6"/>
        <n v="476.1"/>
        <n v="932.8000000000001"/>
        <n v="283.5"/>
        <n v="509.40000000000003"/>
        <n v="888.3000000000001"/>
        <n v="2086.75"/>
        <n v="970.2"/>
        <n v="510.45"/>
        <n v="1031.4"/>
        <n v="950.0"/>
        <n v="735.0"/>
        <n v="380.0"/>
        <n v="829.8000000000001"/>
        <n v="580.8000000000001"/>
        <n v="541.5"/>
        <n v="248.0"/>
        <n v="299.0"/>
        <n v="98.4"/>
        <n v="235.20000000000002"/>
        <n v="359.1"/>
        <n v="519.5799999999999"/>
        <n v="1917.3"/>
        <n v="1742.4"/>
        <n v="588.0"/>
        <n v="383.0"/>
        <n v="459.0"/>
        <n v="416.0"/>
        <n v="531.2"/>
        <n v="364.0"/>
        <n v="626.4000000000001"/>
        <n v="1274.4"/>
        <n v="1365.0"/>
        <n v="972.5"/>
        <n v="458.0"/>
        <n v="392.0"/>
        <n v="945.6"/>
        <n v="540.0"/>
        <n v="1276.8000000000002"/>
        <n v="488.0"/>
        <n v="1040.0"/>
        <n v="1058.25"/>
        <n v="1544.4"/>
        <n v="718.2"/>
        <n v="348.0"/>
        <n v="362.0"/>
        <n v="258.0"/>
        <n v="472.5"/>
        <n v="736.0"/>
        <n v="133.45"/>
        <n v="452.0"/>
        <n v="1135.0"/>
        <n v="958.65"/>
        <n v="1687.5"/>
        <n v="287.5"/>
        <n v="789.0"/>
        <n v="926.1"/>
        <n v="1228.25"/>
        <n v="469.2"/>
        <n v="1182.75"/>
        <n v="982.7199999999999"/>
        <n v="921.3"/>
        <n v="597.6"/>
        <n v="183.0"/>
        <n v="668.1"/>
        <n v="135.5"/>
        <n v="826.1999999999999"/>
        <n v="375.99"/>
        <n v="2228.0"/>
        <n v="693.0"/>
        <n v="705.0"/>
        <n v="1400.8"/>
        <n v="399.5"/>
        <n v="206.1"/>
        <n v="1215.12"/>
        <n v="471.20000000000005"/>
        <n v="323.0"/>
        <n v="293.25"/>
        <n v="726.3000000000001"/>
        <n v="2668.5"/>
        <n v="435.6"/>
        <n v="1159.3999999999999"/>
        <n v="125.8"/>
        <n v="904.6999999999999"/>
        <n v="379.8"/>
        <n v="734.4"/>
        <n v="384.2"/>
        <n v="1814.75"/>
        <n v="218.0"/>
        <n v="328.0"/>
        <n v="1124.0"/>
        <n v="396.8"/>
        <n v="131.20000000000002"/>
        <n v="1676.6"/>
        <n v="1450.84"/>
        <n v="918.4000000000001"/>
        <n v="412.8"/>
        <n v="474.0"/>
        <n v="980.0"/>
        <n v="935.0"/>
        <n v="313.65"/>
        <n v="356.9"/>
        <n v="600.0"/>
        <n v="456.45"/>
        <n v="617.52"/>
        <n v="1435.0"/>
        <n v="1101.6"/>
        <n v="655.2"/>
        <n v="926.28"/>
        <n v="812.6"/>
        <n v="484.5"/>
        <n v="867.0"/>
        <n v="296.31"/>
        <n v="248.4"/>
        <n v="432.0"/>
        <n v="784.0"/>
        <n v="1465.0"/>
        <n v="248.2"/>
        <n v="227.0"/>
        <n v="386.40000000000003"/>
        <n v="1142.3999999999999"/>
        <n v="774.4000000000001"/>
        <n v="2286.5"/>
        <n v="1353.6000000000001"/>
        <n v="276.0"/>
        <n v="497.5"/>
        <n v="123.3"/>
        <n v="426.0"/>
        <n v="404.0"/>
        <n v="366.3"/>
        <n v="522.0"/>
        <n v="336.8"/>
        <n v="175.1"/>
        <n v="2196.0"/>
        <n v="363.20000000000005"/>
        <n v="806.76"/>
        <n v="178.5"/>
        <n v="2358.75"/>
        <n v="600.0899999999999"/>
        <n v="776.88"/>
        <n v="1254.96"/>
        <n v="836.0"/>
        <n v="234.0"/>
        <n v="558.0"/>
        <n v="266.9"/>
        <n v="488.03999999999996"/>
        <n v="914.66"/>
        <n v="169.20000000000002"/>
        <n v="592.0"/>
        <n v="900.0"/>
        <n v="484.0"/>
        <n v="296.5"/>
        <n v="907.5"/>
        <n v="885.6"/>
        <n v="583.9499999999999"/>
        <n v="689.73"/>
        <n v="846.0"/>
        <n v="666.4"/>
        <n v="544.0"/>
        <n v="1304.1000000000001"/>
        <n v="430.2"/>
        <n v="621.0"/>
        <n v="287.1"/>
        <n v="539.1"/>
        <n v="361.88"/>
        <n v="129.2"/>
        <n v="124.0"/>
        <n v="1348.95"/>
        <n v="963.0"/>
        <n v="327.0"/>
        <n v="1734.4"/>
        <n v="260.09999999999997"/>
        <n v="470.05"/>
        <n v="1897.6000000000001"/>
        <n v="1006.0"/>
        <n v="712.14"/>
        <n v="1480.72"/>
        <n v="236.0"/>
        <n v="460.8"/>
        <n v="923.1"/>
        <n v="1205.0"/>
        <n v="1046.4"/>
        <n v="61.0"/>
        <n v="883.12"/>
        <n v="1826.0"/>
        <n v="1030.0"/>
        <n v="370.59999999999997"/>
        <n v="921.6"/>
        <n v="1577.6000000000001"/>
        <n v="535.5"/>
        <n v="738.6999999999999"/>
        <n v="1789.2"/>
        <n v="244.79999999999998"/>
        <n v="852.5"/>
        <n v="449.65"/>
        <n v="1848.75"/>
        <n v="1339.62"/>
        <n v="2296.0"/>
        <n v="275.2"/>
        <n v="2394.0"/>
        <n v="1088.0"/>
        <n v="130.9"/>
        <n v="847.5"/>
        <n v="770.1"/>
        <n v="2425.0"/>
        <n v="686.0"/>
        <n v="1331.2"/>
        <n v="970.0"/>
        <n v="118.14999999999999"/>
        <n v="924.0"/>
        <n v="601.6"/>
        <n v="298.34999999999997"/>
        <n v="1027.8"/>
        <n v="208.0"/>
        <n v="104.4"/>
        <n v="517.65"/>
        <n v="801.6"/>
        <n v="1643.3999999999999"/>
        <n v="489.0"/>
        <n v="548.0"/>
        <n v="449.1"/>
        <n v="1408.0"/>
        <n v="934.5799999999999"/>
        <n v="151.89"/>
        <n v="693.6"/>
        <n v="140.0"/>
        <n v="120.80000000000001"/>
        <n v="83.5"/>
        <n v="623.7"/>
        <n v="309.4"/>
        <n v="501.32"/>
        <n v="805.5"/>
        <n v="497.25"/>
        <n v="1176.0"/>
        <n v="1310.7"/>
        <n v="2218.5"/>
        <n v="745.0"/>
        <n v="2533.0"/>
        <n v="219.0"/>
        <n v="1110.0"/>
        <n v="481.09999999999997"/>
        <n v="235.72"/>
        <n v="1386.0"/>
        <n v="1576.75"/>
        <n v="606.4"/>
        <n v="534.52"/>
        <n v="1237.6"/>
        <n v="1084.0"/>
        <n v="285.5"/>
        <n v="2625.0"/>
        <n v="1141.25"/>
        <n v="802.5"/>
        <n v="341.96"/>
        <n v="912.0"/>
        <n v="387.5"/>
        <n v="633.0"/>
        <n v="1437.0"/>
        <n v="422.0"/>
        <n v="581.4"/>
        <n v="1655.0"/>
        <n v="896.0"/>
        <n v="782.0"/>
        <n v="471.6"/>
        <n v="67.5"/>
        <n v="495.0"/>
        <n v="375.0"/>
        <n v="133.0"/>
        <n v="206.0"/>
        <n v="1324.6799999999998"/>
        <n v="717.0"/>
        <n v="1468.8"/>
        <n v="392.7"/>
        <n v="197.60000000000002"/>
        <n v="607.56"/>
        <n v="651.2"/>
        <n v="2045.9499999999998"/>
        <n v="825.8499999999999"/>
        <n v="643.5"/>
        <n v="2104.0499999999997"/>
        <n v="326.0"/>
        <n v="2180.0"/>
        <n v="752.4"/>
        <n v="799.29"/>
        <n v="715.5"/>
        <n v="246.0"/>
        <n v="381.65"/>
        <n v="1504.0"/>
        <n v="385.2"/>
        <n v="636.0"/>
        <n v="2368.0"/>
        <n v="928.0"/>
        <n v="1840.0"/>
        <n v="468.0"/>
        <n v="976.0"/>
        <n v="727.6"/>
        <n v="525.0"/>
        <n v="446.0"/>
        <n v="289.5"/>
        <n v="655.5"/>
        <n v="769.6"/>
        <n v="712.3"/>
        <n v="348.59999999999997"/>
        <n v="396.74"/>
        <n v="1638.0"/>
        <n v="753.0"/>
        <n v="193.0"/>
        <n v="547.2"/>
        <n v="790.0"/>
        <n v="102.4"/>
        <n v="426.40000000000003"/>
        <n v="1456.0"/>
        <n v="423.0"/>
        <n v="1071.9"/>
        <n v="357.0"/>
        <n v="1978.8"/>
        <n v="476.0"/>
        <n v="329.6"/>
        <n v="358.5"/>
        <n v="1009.8"/>
        <n v="762.5"/>
        <n v="824.5"/>
        <n v="2409.75"/>
        <n v="785.4"/>
        <n v="1685.0"/>
        <n v="289.0"/>
        <n v="1140.0"/>
        <n v="320.40000000000003"/>
        <n v="174.29999999999998"/>
        <n v="1068.0"/>
        <n v="1254.6"/>
        <n v="368.0"/>
        <n v="679.2"/>
        <n v="1152.5"/>
        <n v="328.95"/>
        <n v="440.0"/>
        <n v="1703.1599999999999"/>
        <n v="1218.0"/>
        <n v="1280.0"/>
        <n v="1648.0"/>
        <n v="166.0"/>
        <n v="371.84"/>
        <n v="1302.27"/>
        <n v="950.4000000000001"/>
        <n v="828.0"/>
        <n v="283.86"/>
        <n v="1263.6000000000001"/>
        <n v="780.0"/>
        <n v="1761.0"/>
        <n v="231.2"/>
        <n v="860.0"/>
        <n v="201.60000000000002"/>
        <n v="294.0"/>
        <n v="625.6"/>
        <n v="706.5"/>
        <n v="366.85999999999996"/>
        <n v="647.6999999999999"/>
        <n v="118.0"/>
        <n v="977.4"/>
        <n v="487.5"/>
        <n v="408.84999999999997"/>
        <n v="131.75"/>
        <n v="654.5"/>
        <n v="1389.6000000000001"/>
        <n v="134.0"/>
        <n v="475.20000000000005"/>
        <n v="406.8"/>
        <n v="753.6"/>
        <n v="2412.0"/>
        <n v="1132.0"/>
        <n v="964.0"/>
        <n v="1962.12"/>
        <n v="344.7"/>
        <n v="298.5"/>
        <n v="524.56"/>
        <n v="236.8"/>
        <n v="709.5"/>
        <n v="1116.0"/>
        <n v="412.0"/>
        <n v="271.0"/>
        <n v="1128.0"/>
        <n v="136.0"/>
        <n v="322.5"/>
        <n v="2344.0"/>
        <n v="766.92"/>
        <n v="229.91"/>
        <n v="1198.8"/>
        <n v="587.64"/>
        <n v="675.62"/>
        <n v="114.4"/>
        <n v="1245.6000000000001"/>
        <n v="634.0"/>
        <n v="659.02"/>
        <n v="596.6999999999999"/>
        <n v="766.8000000000001"/>
        <n v="453.6"/>
        <n v="2484.0"/>
        <n v="2310.0"/>
        <n v="1195.2"/>
        <n v="278.40000000000003"/>
        <n v="936.0"/>
        <n v="2012.0"/>
        <n v="1568.0"/>
        <n v="508.0"/>
        <n v="862.4000000000001"/>
        <n v="280.0"/>
        <n v="375.7"/>
        <n v="157.5"/>
        <n v="231.20000000000002"/>
        <n v="1264.8"/>
        <n v="2448.0"/>
        <n v="332.0"/>
        <n v="526.0"/>
        <n v="1856.0"/>
        <n v="351.09"/>
        <n v="1166.0"/>
        <n v="83.0"/>
        <n v="796.0"/>
        <n v="1477.5"/>
        <n v="594.0"/>
        <n v="948.6"/>
        <n v="830.0"/>
        <n v="550.8"/>
        <n v="520.0"/>
        <n v="549.4599999999999"/>
        <n v="1122.99"/>
        <n v="480.0"/>
        <n v="983.55"/>
        <n v="775.1999999999999"/>
        <n v="939.56"/>
        <n v="449.0"/>
        <n v="317.5"/>
        <n v="1354.56"/>
        <n v="216.0"/>
        <n v="341.7"/>
        <n v="371.7"/>
        <n v="510.0"/>
        <n v="2008.0"/>
        <n v="235.0"/>
        <n v="2040.0"/>
        <n v="1130.0"/>
        <n v="405.0"/>
        <n v="1952.1599999999999"/>
        <n v="138.0"/>
        <n v="573.0"/>
        <n v="215.5"/>
        <n v="464.0"/>
        <n v="936.24"/>
        <n v="508.3"/>
        <n v="2260.0"/>
        <n v="905.6"/>
        <n v="276.3"/>
        <n v="580.5"/>
        <n v="226.58999999999997"/>
        <n v="554.0"/>
        <n v="397.6"/>
        <n v="321.3"/>
        <n v="806.4000000000001"/>
        <n v="174.0"/>
        <n v="728.0"/>
        <n v="556.1"/>
        <n v="1752.0"/>
        <n v="1984.0"/>
        <n v="150.3"/>
        <n v="387.0"/>
        <n v="1625.6000000000001"/>
        <n v="224.0"/>
        <n v="460.65"/>
        <n v="2224.0"/>
        <n v="1507.05"/>
        <n v="2220.0"/>
        <n v="93.5"/>
        <n v="861.9"/>
        <n v="1741.5"/>
        <n v="1000.0"/>
        <n v="499.5"/>
        <n v="1216.8"/>
        <n v="931.2"/>
        <n v="870.0"/>
        <n v="515.7"/>
        <n v="1575.0"/>
        <n v="1415.25"/>
        <n v="473.09999999999997"/>
        <n v="1013.43"/>
        <n v="2078.25"/>
        <n v="833.85"/>
        <n v="1792.8"/>
        <n v="306.0"/>
        <n v="263.0"/>
        <n v="343.62"/>
        <n v="1359.1499999999999"/>
        <n v="630.4000000000001"/>
        <n v="2635.0"/>
        <n v="331.0"/>
        <n v="205.0"/>
        <n v="991.02"/>
        <n v="854.25"/>
        <n v="1911.6000000000001"/>
        <n v="699.2"/>
        <n v="192.0"/>
        <n v="518.4"/>
        <n v="350.2"/>
        <n v="679.5"/>
        <n v="752.0"/>
        <n v="200.0"/>
        <n v="277.2"/>
        <n v="250.0"/>
        <n v="787.5"/>
        <n v="336.6"/>
        <n v="1159.2"/>
        <n v="1332.5"/>
        <n v="1384.0"/>
        <n v="397.5"/>
        <n v="860.4"/>
        <n v="2142.0"/>
        <n v="358.56"/>
        <n v="1670.0"/>
        <n v="1272.0"/>
        <n v="672.3"/>
        <n v="239.0"/>
        <n v="320.0"/>
        <n v="342.55"/>
        <n v="299.7"/>
        <n v="585.9"/>
        <n v="298.8"/>
        <n v="169.5"/>
        <n v="1657.5"/>
        <n v="1621.8"/>
        <n v="151.0"/>
        <n v="270.0"/>
        <n v="425.78999999999996"/>
        <n v="170.98"/>
        <n v="1125.9"/>
        <n v="916.3199999999999"/>
        <n v="532.0"/>
        <n v="1174.5"/>
        <n v="732.6999999999999"/>
        <n v="528.0"/>
        <n v="2256.75"/>
        <n v="1469.1"/>
        <n v="407.5"/>
        <n v="1975.3999999999999"/>
        <n v="403.2"/>
        <n v="493.84999999999997"/>
        <n v="395.90999999999997"/>
        <n v="215.0"/>
        <n v="204.0"/>
        <n v="1418.4"/>
        <n v="241.4"/>
        <n v="670.5"/>
        <n v="1680.75"/>
        <n v="477.5"/>
        <n v="1122.5"/>
        <n v="181.0"/>
        <n v="438.23999999999995"/>
        <n v="2392.75"/>
        <n v="990.0"/>
        <n v="1153.7"/>
        <n v="403.38"/>
        <n v="1440.0"/>
        <n v="1200.0"/>
        <n v="682.2"/>
        <n v="128.0"/>
        <n v="1330.25"/>
        <n v="285.0"/>
        <n v="1779.52"/>
        <n v="822.8"/>
        <n v="272.84999999999997"/>
        <n v="1040.3999999999999"/>
        <n v="196.70999999999998"/>
        <n v="456.0"/>
        <n v="506.59999999999997"/>
        <n v="523.2"/>
        <n v="136.85"/>
        <n v="1048.29"/>
        <n v="244.85"/>
        <n v="962.0"/>
        <n v="1334.4"/>
        <n v="1922.28"/>
        <n v="122.83999999999999"/>
        <n v="1320.0"/>
        <n v="1916.75"/>
        <n v="1326.0"/>
        <n v="675.75"/>
        <n v="402.0"/>
        <n v="1512.0"/>
        <n v="176.0"/>
        <n v="360.90000000000003"/>
        <n v="107.0"/>
        <n v="410.84999999999997"/>
        <n v="571.04"/>
        <n v="450.90000000000003"/>
        <n v="506.0"/>
        <n v="579.3399999999999"/>
        <n v="492.0"/>
        <n v="184.5"/>
        <n v="393.0"/>
        <n v="729.0"/>
        <n v="385.0"/>
        <n v="1264.9199999999998"/>
        <n v="929.5999999999999"/>
        <n v="84.5"/>
        <n v="478.08"/>
        <n v="1115.1000000000001"/>
        <n v="408.35999999999996"/>
        <n v="2137.5"/>
        <n v="500.0"/>
        <n v="988.8000000000001"/>
        <n v="1150.05"/>
        <n v="1539.2"/>
        <n v="266.0"/>
        <n v="840.0"/>
        <n v="203.4"/>
        <n v="697.0"/>
        <n v="2200.5"/>
        <n v="1183.2"/>
        <n v="1056.0"/>
        <n v="782.85"/>
        <n v="1445.0"/>
        <n v="436.0"/>
        <n v="282.5"/>
        <n v="184.0"/>
        <n v="730.0"/>
        <n v="104.80000000000001"/>
        <n v="120.0"/>
        <n v="1024.2"/>
        <n v="130.0"/>
        <n v="1798.4"/>
        <n v="547.8"/>
        <n v="719.61"/>
        <n v="278.88"/>
        <n v="854.9"/>
        <n v="776.05"/>
        <n v="293.0"/>
        <n v="657.5"/>
        <n v="677.7"/>
        <n v="1628.6"/>
        <n v="775.2199999999999"/>
        <n v="201.45"/>
        <n v="2601.0"/>
        <n v="392.40000000000003"/>
        <n v="1414.4"/>
        <n v="176.4"/>
        <n v="1640.0"/>
        <n v="354.40000000000003"/>
        <n v="462.0"/>
        <n v="440.8"/>
        <n v="272.7"/>
        <n v="1409.4"/>
        <n v="657.0"/>
        <n v="1593.75"/>
        <n v="864.0"/>
        <n v="1708.0"/>
        <n v="302.40000000000003"/>
        <n v="1104.0"/>
        <n v="537.6"/>
        <n v="996.0"/>
        <n v="1503.0"/>
        <n v="312.5"/>
        <n v="490.53"/>
        <n v="224.4"/>
        <n v="1605.6000000000001"/>
        <n v="352.8"/>
        <n v="721.6"/>
        <n v="849.6"/>
        <n v="588.1999999999999"/>
        <n v="1090.0"/>
        <n v="455.0"/>
        <n v="410.40000000000003"/>
        <n v="797.5"/>
        <n v="491.0"/>
        <n v="2312.0"/>
        <n v="1508.75"/>
        <n v="713.6"/>
        <n v="466.0"/>
        <n v="1120.0"/>
        <n v="373.0"/>
        <n v="468.95"/>
        <n v="356.40000000000003"/>
        <n v="903.04"/>
        <n v="148.8"/>
        <n v="367.20000000000005"/>
        <n v="1172.0"/>
        <n v="588.8000000000001"/>
        <n v="2545.75"/>
        <n v="1184.0"/>
        <n v="1135.6"/>
        <n v="820.04"/>
        <n v="1113.03"/>
        <n v="732.6"/>
        <n v="1335.6000000000001"/>
        <n v="583.2"/>
        <n v="1344.0"/>
        <n v="710.4000000000001"/>
        <n v="535.0"/>
        <n v="1420.0"/>
        <n v="430.5"/>
        <n v="449.85999999999996"/>
        <n v="642.6"/>
        <n v="1968.0"/>
        <n v="424.0"/>
        <n v="581.0"/>
        <n v="803.4399999999999"/>
        <n v="1633.4399999999998"/>
        <n v="169.0"/>
        <n v="843.0"/>
        <n v="194.4"/>
        <n v="764.8000000000001"/>
        <n v="394.4"/>
        <n v="299.2"/>
        <n v="732.0"/>
        <n v="946.9"/>
        <n v="411.3"/>
        <n v="714.0"/>
        <n v="884.0"/>
        <n v="1432.25"/>
        <n v="482.0"/>
        <n v="1060.8"/>
        <n v="1836.0"/>
        <n v="364.8"/>
        <n v="1692.8000000000002"/>
        <n v="450.5"/>
        <n v="112.0"/>
        <n v="419.9"/>
        <n v="464.09999999999997"/>
        <n v="230.35"/>
        <n v="335.0"/>
        <n v="313.0"/>
        <n v="516.0"/>
        <n v="523.0"/>
        <n v="1170.0"/>
        <n v="195.5"/>
        <n v="1209.0"/>
        <n v="740.0"/>
        <n v="1768.0"/>
        <n v="1433.6000000000001"/>
        <n v="1290.6000000000001"/>
        <n v="906.0"/>
        <n v="496.0"/>
        <n v="867.2"/>
        <n v="199.0"/>
        <n v="390.40000000000003"/>
        <n v="1928.9199999999998"/>
        <n v="131.5"/>
        <n v="1176.3999999999999"/>
        <n v="166.5"/>
        <n v="628.0"/>
        <n v="1135.2"/>
        <n v="191.0"/>
        <n v="362.40000000000003"/>
        <n v="876.0"/>
        <n v="1398.4"/>
        <n v="428.40000000000003"/>
        <n v="527.0"/>
        <n v="1380.0"/>
        <n v="786.0"/>
        <n v="253.0"/>
        <n v="441.0"/>
        <n v="1187.2"/>
        <n v="336.15"/>
        <n v="1202.75"/>
        <n v="1523.05"/>
        <n v="2880.0"/>
        <n v="284.5"/>
        <n v="1161.6000000000001"/>
        <n v="490.0"/>
        <n v="237.60000000000002"/>
        <n v="1494.0"/>
        <n v="1763.75"/>
        <n v="487.0"/>
        <n v="722.0999999999999"/>
        <n v="377.0"/>
        <n v="1581.0"/>
        <n v="403.20000000000005"/>
        <n v="875.5"/>
        <n v="953.6999999999999"/>
        <n v="925.4499999999999"/>
        <n v="1092.0"/>
        <n v="315.0"/>
        <n v="376.8"/>
        <n v="1723.8"/>
        <n v="771.9"/>
        <n v="102.0"/>
        <n v="1483.2"/>
        <n v="633.6"/>
        <n v="1050.0"/>
        <n v="226.5"/>
        <n v="1774.8"/>
        <n v="99.0"/>
        <n v="603.0"/>
        <n v="1740.8000000000002"/>
        <n v="134.29999999999998"/>
        <n v="702.0"/>
        <n v="2048.4"/>
        <n v="1078.0"/>
        <n v="910.8000000000001"/>
        <n v="227.20000000000002"/>
        <n v="1377.0"/>
        <n v="396.0"/>
        <n v="2140.0"/>
        <n v="1543.8"/>
        <n v="1340.0"/>
        <n v="228.0"/>
        <n v="410.02"/>
        <n v="446.25"/>
        <n v="622.0"/>
        <n v="842.4499999999999"/>
        <n v="601.5"/>
        <n v="1432.0"/>
        <n v="972.4"/>
        <n v="1387.8"/>
        <n v="874.8000000000001"/>
        <n v="861.54"/>
        <n v="2775.0"/>
        <n v="105.41"/>
        <n v="576.0"/>
        <n v="262.5"/>
        <n v="1649.0"/>
        <n v="1395.0"/>
        <n v="1507.28"/>
        <n v="1242.0"/>
        <n v="1366.2"/>
        <n v="1570.36"/>
        <n v="590.9599999999999"/>
        <n v="1447.2"/>
        <n v="127.5"/>
        <n v="391.76"/>
        <n v="1808.0"/>
        <n v="419.20000000000005"/>
        <n v="2665.0"/>
        <n v="204.5"/>
        <n v="549.0"/>
        <n v="740.36"/>
        <n v="1228.0"/>
        <n v="300.0"/>
        <n v="1410.1499999999999"/>
        <n v="691.2"/>
        <n v="444.0"/>
        <n v="1260.8000000000002"/>
        <n v="420.0"/>
        <n v="995.0"/>
        <n v="1713.6000000000001"/>
        <n v="256.0"/>
        <n v="972.0"/>
        <n v="746.0"/>
        <n v="991.9499999999999"/>
        <n v="1360.0"/>
        <n v="1299.6000000000001"/>
        <n v="690.1999999999999"/>
        <n v="816.0"/>
        <n v="589.3"/>
        <n v="324.0"/>
        <n v="744.6"/>
        <n v="200.70000000000002"/>
        <n v="1695.75"/>
        <n v="1489.2"/>
        <n v="2515.0"/>
        <n v="419.0"/>
        <n v="202.4"/>
        <n v="134.45999999999998"/>
        <n v="745.2"/>
        <n v="1125.0"/>
        <n v="187.85"/>
        <n v="828.75"/>
        <n v="359.0"/>
        <n v="124.2"/>
        <n v="444.88"/>
        <n v="493.0"/>
        <n v="878.4"/>
        <n v="135.0"/>
        <n v="1139.0"/>
        <n v="787.2"/>
        <n v="390.0"/>
        <n v="1149.55"/>
        <n v="2000.0"/>
        <n v="1072.36"/>
        <n v="255.6"/>
        <n v="2990.0"/>
        <n v="223.0"/>
        <n v="1815.0"/>
        <n v="408.0"/>
        <n v="826.5"/>
        <n v="1024.0"/>
        <n v="1231.2"/>
        <n v="598.5"/>
        <n v="546.0"/>
      </sharedItems>
    </cacheField>
    <cacheField name="cost" numFmtId="0">
      <sharedItems containsSemiMixedTypes="0" containsString="0" containsNumber="1" containsInteger="1">
        <n v="753.0"/>
        <n v="1062.0"/>
        <n v="377.0"/>
        <n v="1072.0"/>
        <n v="683.0"/>
        <n v="1621.0"/>
        <n v="905.0"/>
        <n v="292.0"/>
        <n v="475.0"/>
        <n v="198.0"/>
        <n v="160.0"/>
        <n v="536.0"/>
        <n v="1134.0"/>
        <n v="771.0"/>
        <n v="654.0"/>
        <n v="487.0"/>
        <n v="315.0"/>
        <n v="1033.0"/>
        <n v="192.0"/>
        <n v="744.0"/>
        <n v="516.0"/>
        <n v="333.0"/>
        <n v="653.0"/>
        <n v="357.0"/>
        <n v="622.0"/>
        <n v="1461.0"/>
        <n v="679.0"/>
        <n v="722.0"/>
        <n v="665.0"/>
        <n v="515.0"/>
        <n v="266.0"/>
        <n v="581.0"/>
        <n v="407.0"/>
        <n v="379.0"/>
        <n v="174.0"/>
        <n v="209.0"/>
        <n v="69.0"/>
        <n v="165.0"/>
        <n v="251.0"/>
        <n v="364.0"/>
        <n v="1342.0"/>
        <n v="1220.0"/>
        <n v="412.0"/>
        <n v="268.0"/>
        <n v="321.0"/>
        <n v="291.0"/>
        <n v="372.0"/>
        <n v="255.0"/>
        <n v="438.0"/>
        <n v="892.0"/>
        <n v="956.0"/>
        <n v="681.0"/>
        <n v="274.0"/>
        <n v="662.0"/>
        <n v="378.0"/>
        <n v="894.0"/>
        <n v="342.0"/>
        <n v="728.0"/>
        <n v="741.0"/>
        <n v="1081.0"/>
        <n v="503.0"/>
        <n v="244.0"/>
        <n v="253.0"/>
        <n v="181.0"/>
        <n v="331.0"/>
        <n v="93.0"/>
        <n v="316.0"/>
        <n v="795.0"/>
        <n v="671.0"/>
        <n v="1181.0"/>
        <n v="201.0"/>
        <n v="552.0"/>
        <n v="648.0"/>
        <n v="860.0"/>
        <n v="328.0"/>
        <n v="828.0"/>
        <n v="688.0"/>
        <n v="645.0"/>
        <n v="418.0"/>
        <n v="128.0"/>
        <n v="468.0"/>
        <n v="95.0"/>
        <n v="578.0"/>
        <n v="263.0"/>
        <n v="1560.0"/>
        <n v="485.0"/>
        <n v="494.0"/>
        <n v="981.0"/>
        <n v="280.0"/>
        <n v="144.0"/>
        <n v="851.0"/>
        <n v="330.0"/>
        <n v="226.0"/>
        <n v="205.0"/>
        <n v="508.0"/>
        <n v="1868.0"/>
        <n v="305.0"/>
        <n v="812.0"/>
        <n v="88.0"/>
        <n v="633.0"/>
        <n v="514.0"/>
        <n v="269.0"/>
        <n v="1270.0"/>
        <n v="153.0"/>
        <n v="230.0"/>
        <n v="787.0"/>
        <n v="278.0"/>
        <n v="92.0"/>
        <n v="1174.0"/>
        <n v="1016.0"/>
        <n v="643.0"/>
        <n v="289.0"/>
        <n v="332.0"/>
        <n v="686.0"/>
        <n v="655.0"/>
        <n v="220.0"/>
        <n v="250.0"/>
        <n v="420.0"/>
        <n v="320.0"/>
        <n v="432.0"/>
        <n v="1005.0"/>
        <n v="459.0"/>
        <n v="569.0"/>
        <n v="339.0"/>
        <n v="607.0"/>
        <n v="207.0"/>
        <n v="302.0"/>
        <n v="549.0"/>
        <n v="1026.0"/>
        <n v="159.0"/>
        <n v="270.0"/>
        <n v="800.0"/>
        <n v="542.0"/>
        <n v="1601.0"/>
        <n v="948.0"/>
        <n v="193.0"/>
        <n v="348.0"/>
        <n v="86.0"/>
        <n v="298.0"/>
        <n v="283.0"/>
        <n v="256.0"/>
        <n v="365.0"/>
        <n v="236.0"/>
        <n v="123.0"/>
        <n v="1537.0"/>
        <n v="254.0"/>
        <n v="565.0"/>
        <n v="125.0"/>
        <n v="1651.0"/>
        <n v="544.0"/>
        <n v="878.0"/>
        <n v="585.0"/>
        <n v="164.0"/>
        <n v="391.0"/>
        <n v="187.0"/>
        <n v="640.0"/>
        <n v="118.0"/>
        <n v="414.0"/>
        <n v="630.0"/>
        <n v="208.0"/>
        <n v="635.0"/>
        <n v="620.0"/>
        <n v="409.0"/>
        <n v="483.0"/>
        <n v="592.0"/>
        <n v="466.0"/>
        <n v="381.0"/>
        <n v="913.0"/>
        <n v="301.0"/>
        <n v="435.0"/>
        <n v="90.0"/>
        <n v="87.0"/>
        <n v="944.0"/>
        <n v="674.0"/>
        <n v="229.0"/>
        <n v="1214.0"/>
        <n v="182.0"/>
        <n v="329.0"/>
        <n v="1328.0"/>
        <n v="704.0"/>
        <n v="498.0"/>
        <n v="1037.0"/>
        <n v="323.0"/>
        <n v="646.0"/>
        <n v="844.0"/>
        <n v="732.0"/>
        <n v="43.0"/>
        <n v="618.0"/>
        <n v="1278.0"/>
        <n v="721.0"/>
        <n v="259.0"/>
        <n v="1104.0"/>
        <n v="375.0"/>
        <n v="517.0"/>
        <n v="1252.0"/>
        <n v="171.0"/>
        <n v="597.0"/>
        <n v="1294.0"/>
        <n v="938.0"/>
        <n v="1607.0"/>
        <n v="1676.0"/>
        <n v="762.0"/>
        <n v="593.0"/>
        <n v="539.0"/>
        <n v="1698.0"/>
        <n v="480.0"/>
        <n v="932.0"/>
        <n v="83.0"/>
        <n v="647.0"/>
        <n v="421.0"/>
        <n v="719.0"/>
        <n v="146.0"/>
        <n v="73.0"/>
        <n v="362.0"/>
        <n v="561.0"/>
        <n v="1150.0"/>
        <n v="384.0"/>
        <n v="314.0"/>
        <n v="986.0"/>
        <n v="106.0"/>
        <n v="486.0"/>
        <n v="98.0"/>
        <n v="85.0"/>
        <n v="58.0"/>
        <n v="437.0"/>
        <n v="217.0"/>
        <n v="351.0"/>
        <n v="564.0"/>
        <n v="823.0"/>
        <n v="917.0"/>
        <n v="1553.0"/>
        <n v="522.0"/>
        <n v="1773.0"/>
        <n v="777.0"/>
        <n v="337.0"/>
        <n v="970.0"/>
        <n v="424.0"/>
        <n v="374.0"/>
        <n v="866.0"/>
        <n v="759.0"/>
        <n v="200.0"/>
        <n v="1838.0"/>
        <n v="799.0"/>
        <n v="562.0"/>
        <n v="239.0"/>
        <n v="638.0"/>
        <n v="271.0"/>
        <n v="443.0"/>
        <n v="1006.0"/>
        <n v="295.0"/>
        <n v="1159.0"/>
        <n v="627.0"/>
        <n v="547.0"/>
        <n v="47.0"/>
        <n v="347.0"/>
        <n v="927.0"/>
        <n v="502.0"/>
        <n v="1028.0"/>
        <n v="275.0"/>
        <n v="138.0"/>
        <n v="425.0"/>
        <n v="456.0"/>
        <n v="1432.0"/>
        <n v="450.0"/>
        <n v="1473.0"/>
        <n v="228.0"/>
        <n v="1526.0"/>
        <n v="527.0"/>
        <n v="560.0"/>
        <n v="501.0"/>
        <n v="172.0"/>
        <n v="267.0"/>
        <n v="1053.0"/>
        <n v="445.0"/>
        <n v="1658.0"/>
        <n v="650.0"/>
        <n v="1288.0"/>
        <n v="509.0"/>
        <n v="368.0"/>
        <n v="312.0"/>
        <n v="203.0"/>
        <n v="499.0"/>
        <n v="1147.0"/>
        <n v="135.0"/>
        <n v="383.0"/>
        <n v="553.0"/>
        <n v="72.0"/>
        <n v="1019.0"/>
        <n v="296.0"/>
        <n v="750.0"/>
        <n v="1385.0"/>
        <n v="231.0"/>
        <n v="707.0"/>
        <n v="534.0"/>
        <n v="577.0"/>
        <n v="1687.0"/>
        <n v="550.0"/>
        <n v="1180.0"/>
        <n v="202.0"/>
        <n v="798.0"/>
        <n v="224.0"/>
        <n v="122.0"/>
        <n v="748.0"/>
        <n v="258.0"/>
        <n v="807.0"/>
        <n v="308.0"/>
        <n v="1192.0"/>
        <n v="853.0"/>
        <n v="896.0"/>
        <n v="1154.0"/>
        <n v="116.0"/>
        <n v="260.0"/>
        <n v="912.0"/>
        <n v="580.0"/>
        <n v="199.0"/>
        <n v="885.0"/>
        <n v="546.0"/>
        <n v="1233.0"/>
        <n v="162.0"/>
        <n v="602.0"/>
        <n v="141.0"/>
        <n v="206.0"/>
        <n v="495.0"/>
        <n v="257.0"/>
        <n v="453.0"/>
        <n v="684.0"/>
        <n v="341.0"/>
        <n v="286.0"/>
        <n v="458.0"/>
        <n v="973.0"/>
        <n v="94.0"/>
        <n v="285.0"/>
        <n v="528.0"/>
        <n v="1688.0"/>
        <n v="792.0"/>
        <n v="675.0"/>
        <n v="1373.0"/>
        <n v="241.0"/>
        <n v="367.0"/>
        <n v="166.0"/>
        <n v="497.0"/>
        <n v="781.0"/>
        <n v="288.0"/>
        <n v="190.0"/>
        <n v="790.0"/>
        <n v="1641.0"/>
        <n v="537.0"/>
        <n v="161.0"/>
        <n v="839.0"/>
        <n v="411.0"/>
        <n v="473.0"/>
        <n v="80.0"/>
        <n v="872.0"/>
        <n v="444.0"/>
        <n v="461.0"/>
        <n v="318.0"/>
        <n v="1739.0"/>
        <n v="1617.0"/>
        <n v="837.0"/>
        <n v="195.0"/>
        <n v="1408.0"/>
        <n v="1098.0"/>
        <n v="356.0"/>
        <n v="604.0"/>
        <n v="196.0"/>
        <n v="110.0"/>
        <n v="1714.0"/>
        <n v="232.0"/>
        <n v="1299.0"/>
        <n v="246.0"/>
        <n v="816.0"/>
        <n v="557.0"/>
        <n v="1034.0"/>
        <n v="416.0"/>
        <n v="664.0"/>
        <n v="386.0"/>
        <n v="385.0"/>
        <n v="786.0"/>
        <n v="336.0"/>
        <n v="543.0"/>
        <n v="658.0"/>
        <n v="222.0"/>
        <n v="151.0"/>
        <n v="1406.0"/>
        <n v="1428.0"/>
        <n v="791.0"/>
        <n v="284.0"/>
        <n v="1367.0"/>
        <n v="97.0"/>
        <n v="401.0"/>
        <n v="325.0"/>
        <n v="1582.0"/>
        <n v="634.0"/>
        <n v="406.0"/>
        <n v="388.0"/>
        <n v="225.0"/>
        <n v="510.0"/>
        <n v="389.0"/>
        <n v="1226.0"/>
        <n v="1389.0"/>
        <n v="105.0"/>
        <n v="1138.0"/>
        <n v="157.0"/>
        <n v="322.0"/>
        <n v="1557.0"/>
        <n v="1055.0"/>
        <n v="1554.0"/>
        <n v="65.0"/>
        <n v="603.0"/>
        <n v="1219.0"/>
        <n v="700.0"/>
        <n v="350.0"/>
        <n v="852.0"/>
        <n v="652.0"/>
        <n v="609.0"/>
        <n v="361.0"/>
        <n v="1103.0"/>
        <n v="991.0"/>
        <n v="709.0"/>
        <n v="1455.0"/>
        <n v="584.0"/>
        <n v="1255.0"/>
        <n v="214.0"/>
        <n v="184.0"/>
        <n v="951.0"/>
        <n v="441.0"/>
        <n v="1845.0"/>
        <n v="694.0"/>
        <n v="598.0"/>
        <n v="1338.0"/>
        <n v="489.0"/>
        <n v="134.0"/>
        <n v="363.0"/>
        <n v="245.0"/>
        <n v="476.0"/>
        <n v="526.0"/>
        <n v="140.0"/>
        <n v="194.0"/>
        <n v="175.0"/>
        <n v="551.0"/>
        <n v="811.0"/>
        <n v="933.0"/>
        <n v="969.0"/>
        <n v="1499.0"/>
        <n v="1169.0"/>
        <n v="890.0"/>
        <n v="471.0"/>
        <n v="167.0"/>
        <n v="240.0"/>
        <n v="210.0"/>
        <n v="410.0"/>
        <n v="119.0"/>
        <n v="1160.0"/>
        <n v="1135.0"/>
        <n v="189.0"/>
        <n v="120.0"/>
        <n v="788.0"/>
        <n v="641.0"/>
        <n v="822.0"/>
        <n v="513.0"/>
        <n v="370.0"/>
        <n v="1580.0"/>
        <n v="1383.0"/>
        <n v="282.0"/>
        <n v="346.0"/>
        <n v="277.0"/>
        <n v="143.0"/>
        <n v="993.0"/>
        <n v="169.0"/>
        <n v="469.0"/>
        <n v="1177.0"/>
        <n v="334.0"/>
        <n v="127.0"/>
        <n v="307.0"/>
        <n v="1675.0"/>
        <n v="693.0"/>
        <n v="808.0"/>
        <n v="1008.0"/>
        <n v="840.0"/>
        <n v="478.0"/>
        <n v="931.0"/>
        <n v="1246.0"/>
        <n v="576.0"/>
        <n v="191.0"/>
        <n v="319.0"/>
        <n v="355.0"/>
        <n v="366.0"/>
        <n v="96.0"/>
        <n v="734.0"/>
        <n v="673.0"/>
        <n v="934.0"/>
        <n v="1346.0"/>
        <n v="924.0"/>
        <n v="928.0"/>
        <n v="281.0"/>
        <n v="1058.0"/>
        <n v="75.0"/>
        <n v="400.0"/>
        <n v="354.0"/>
        <n v="344.0"/>
        <n v="129.0"/>
        <n v="651.0"/>
        <n v="59.0"/>
        <n v="335.0"/>
        <n v="1496.0"/>
        <n v="692.0"/>
        <n v="805.0"/>
        <n v="1077.0"/>
        <n v="186.0"/>
        <n v="588.0"/>
        <n v="142.0"/>
        <n v="488.0"/>
        <n v="1540.0"/>
        <n v="739.0"/>
        <n v="548.0"/>
        <n v="1012.0"/>
        <n v="511.0"/>
        <n v="84.0"/>
        <n v="717.0"/>
        <n v="91.0"/>
        <n v="1259.0"/>
        <n v="504.0"/>
        <n v="460.0"/>
        <n v="474.0"/>
        <n v="1140.0"/>
        <n v="1821.0"/>
        <n v="990.0"/>
        <n v="1148.0"/>
        <n v="248.0"/>
        <n v="309.0"/>
        <n v="987.0"/>
        <n v="1116.0"/>
        <n v="605.0"/>
        <n v="1196.0"/>
        <n v="212.0"/>
        <n v="773.0"/>
        <n v="376.0"/>
        <n v="697.0"/>
        <n v="1052.0"/>
        <n v="219.0"/>
        <n v="343.0"/>
        <n v="1124.0"/>
        <n v="247.0"/>
        <n v="505.0"/>
        <n v="595.0"/>
        <n v="763.0"/>
        <n v="287.0"/>
        <n v="558.0"/>
        <n v="1618.0"/>
        <n v="1056.0"/>
        <n v="500.0"/>
        <n v="326.0"/>
        <n v="784.0"/>
        <n v="261.0"/>
        <n v="249.0"/>
        <n v="632.0"/>
        <n v="104.0"/>
        <n v="820.0"/>
        <n v="1782.0"/>
        <n v="829.0"/>
        <n v="574.0"/>
        <n v="779.0"/>
        <n v="935.0"/>
        <n v="408.0"/>
        <n v="941.0"/>
        <n v="994.0"/>
        <n v="1378.0"/>
        <n v="297.0"/>
        <n v="1143.0"/>
        <n v="590.0"/>
        <n v="136.0"/>
        <n v="535.0"/>
        <n v="276.0"/>
        <n v="512.0"/>
        <n v="663.0"/>
        <n v="619.0"/>
        <n v="1003.0"/>
        <n v="743.0"/>
        <n v="1285.0"/>
        <n v="1185.0"/>
        <n v="78.0"/>
        <n v="294.0"/>
        <n v="235.0"/>
        <n v="819.0"/>
        <n v="137.0"/>
        <n v="846.0"/>
        <n v="518.0"/>
        <n v="1238.0"/>
        <n v="1004.0"/>
        <n v="903.0"/>
        <n v="139.0"/>
        <n v="273.0"/>
        <n v="1350.0"/>
        <n v="117.0"/>
        <n v="440.0"/>
        <n v="613.0"/>
        <n v="979.0"/>
        <n v="300.0"/>
        <n v="369.0"/>
        <n v="966.0"/>
        <n v="177.0"/>
        <n v="831.0"/>
        <n v="842.0"/>
        <n v="1066.0"/>
        <n v="2016.0"/>
        <n v="813.0"/>
        <n v="1046.0"/>
        <n v="1235.0"/>
        <n v="264.0"/>
        <n v="1107.0"/>
        <n v="668.0"/>
        <n v="764.0"/>
        <n v="221.0"/>
        <n v="1207.0"/>
        <n v="540.0"/>
        <n v="71.0"/>
        <n v="1038.0"/>
        <n v="735.0"/>
        <n v="1242.0"/>
        <n v="422.0"/>
        <n v="491.0"/>
        <n v="1434.0"/>
        <n v="755.0"/>
        <n v="964.0"/>
        <n v="1498.0"/>
        <n v="1002.0"/>
        <n v="971.0"/>
        <n v="612.0"/>
        <n v="1943.0"/>
        <n v="74.0"/>
        <n v="403.0"/>
        <n v="977.0"/>
        <n v="869.0"/>
        <n v="1099.0"/>
        <n v="1013.0"/>
        <n v="89.0"/>
        <n v="1266.0"/>
        <n v="293.0"/>
        <n v="1866.0"/>
        <n v="484.0"/>
        <n v="311.0"/>
        <n v="883.0"/>
        <n v="1200.0"/>
        <n v="179.0"/>
        <n v="680.0"/>
        <n v="952.0"/>
        <n v="910.0"/>
        <n v="571.0"/>
        <n v="413.0"/>
        <n v="227.0"/>
        <n v="521.0"/>
        <n v="1187.0"/>
        <n v="1042.0"/>
        <n v="1761.0"/>
        <n v="131.0"/>
        <n v="345.0"/>
        <n v="615.0"/>
        <n v="797.0"/>
        <n v="1400.0"/>
        <n v="751.0"/>
        <n v="2093.0"/>
        <n v="156.0"/>
        <n v="1271.0"/>
        <n v="579.0"/>
        <n v="862.0"/>
        <n v="419.0"/>
        <n v="382.0"/>
      </sharedItems>
    </cacheField>
    <cacheField name="profit" numFmtId="0">
      <sharedItems containsSemiMixedTypes="0" containsString="0" containsNumber="1" containsInteger="1">
        <n v="323.0"/>
        <n v="455.0"/>
        <n v="162.0"/>
        <n v="459.0"/>
        <n v="293.0"/>
        <n v="695.0"/>
        <n v="388.0"/>
        <n v="125.0"/>
        <n v="203.0"/>
        <n v="84.0"/>
        <n v="69.0"/>
        <n v="229.0"/>
        <n v="486.0"/>
        <n v="330.0"/>
        <n v="280.0"/>
        <n v="209.0"/>
        <n v="135.0"/>
        <n v="442.0"/>
        <n v="82.0"/>
        <n v="319.0"/>
        <n v="222.0"/>
        <n v="143.0"/>
        <n v="86.0"/>
        <n v="152.0"/>
        <n v="266.0"/>
        <n v="626.0"/>
        <n v="291.0"/>
        <n v="153.0"/>
        <n v="309.0"/>
        <n v="285.0"/>
        <n v="220.0"/>
        <n v="114.0"/>
        <n v="249.0"/>
        <n v="174.0"/>
        <n v="163.0"/>
        <n v="74.0"/>
        <n v="90.0"/>
        <n v="29.0"/>
        <n v="70.0"/>
        <n v="108.0"/>
        <n v="156.0"/>
        <n v="575.0"/>
        <n v="522.0"/>
        <n v="176.0"/>
        <n v="115.0"/>
        <n v="138.0"/>
        <n v="159.0"/>
        <n v="109.0"/>
        <n v="188.0"/>
        <n v="382.0"/>
        <n v="409.0"/>
        <n v="292.0"/>
        <n v="137.0"/>
        <n v="118.0"/>
        <n v="284.0"/>
        <n v="383.0"/>
        <n v="146.0"/>
        <n v="312.0"/>
        <n v="317.0"/>
        <n v="463.0"/>
        <n v="215.0"/>
        <n v="104.0"/>
        <n v="77.0"/>
        <n v="142.0"/>
        <n v="221.0"/>
        <n v="40.0"/>
        <n v="136.0"/>
        <n v="340.0"/>
        <n v="288.0"/>
        <n v="507.0"/>
        <n v="87.0"/>
        <n v="237.0"/>
        <n v="278.0"/>
        <n v="368.0"/>
        <n v="141.0"/>
        <n v="355.0"/>
        <n v="295.0"/>
        <n v="276.0"/>
        <n v="180.0"/>
        <n v="55.0"/>
        <n v="200.0"/>
        <n v="41.0"/>
        <n v="248.0"/>
        <n v="113.0"/>
        <n v="668.0"/>
        <n v="208.0"/>
        <n v="211.0"/>
        <n v="420.0"/>
        <n v="120.0"/>
        <n v="62.0"/>
        <n v="364.0"/>
        <n v="97.0"/>
        <n v="88.0"/>
        <n v="218.0"/>
        <n v="801.0"/>
        <n v="131.0"/>
        <n v="347.0"/>
        <n v="38.0"/>
        <n v="272.0"/>
        <n v="545.0"/>
        <n v="65.0"/>
        <n v="98.0"/>
        <n v="337.0"/>
        <n v="119.0"/>
        <n v="39.0"/>
        <n v="503.0"/>
        <n v="435.0"/>
        <n v="275.0"/>
        <n v="124.0"/>
        <n v="294.0"/>
        <n v="94.0"/>
        <n v="107.0"/>
        <n v="186.0"/>
        <n v="430.0"/>
        <n v="331.0"/>
        <n v="196.0"/>
        <n v="244.0"/>
        <n v="260.0"/>
        <n v="89.0"/>
        <n v="130.0"/>
        <n v="235.0"/>
        <n v="439.0"/>
        <n v="68.0"/>
        <n v="116.0"/>
        <n v="342.0"/>
        <n v="232.0"/>
        <n v="686.0"/>
        <n v="406.0"/>
        <n v="83.0"/>
        <n v="150.0"/>
        <n v="37.0"/>
        <n v="128.0"/>
        <n v="121.0"/>
        <n v="110.0"/>
        <n v="157.0"/>
        <n v="101.0"/>
        <n v="52.0"/>
        <n v="659.0"/>
        <n v="242.0"/>
        <n v="54.0"/>
        <n v="708.0"/>
        <n v="233.0"/>
        <n v="377.0"/>
        <n v="251.0"/>
        <n v="167.0"/>
        <n v="80.0"/>
        <n v="51.0"/>
        <n v="178.0"/>
        <n v="270.0"/>
        <n v="145.0"/>
        <n v="273.0"/>
        <n v="175.0"/>
        <n v="207.0"/>
        <n v="254.0"/>
        <n v="391.0"/>
        <n v="129.0"/>
        <n v="405.0"/>
        <n v="289.0"/>
        <n v="520.0"/>
        <n v="78.0"/>
        <n v="570.0"/>
        <n v="302.0"/>
        <n v="214.0"/>
        <n v="444.0"/>
        <n v="71.0"/>
        <n v="277.0"/>
        <n v="361.0"/>
        <n v="314.0"/>
        <n v="18.0"/>
        <n v="265.0"/>
        <n v="548.0"/>
        <n v="112.0"/>
        <n v="474.0"/>
        <n v="161.0"/>
        <n v="537.0"/>
        <n v="256.0"/>
        <n v="555.0"/>
        <n v="402.0"/>
        <n v="689.0"/>
        <n v="718.0"/>
        <n v="326.0"/>
        <n v="255.0"/>
        <n v="231.0"/>
        <n v="727.0"/>
        <n v="206.0"/>
        <n v="399.0"/>
        <n v="35.0"/>
        <n v="181.0"/>
        <n v="31.0"/>
        <n v="241.0"/>
        <n v="493.0"/>
        <n v="147.0"/>
        <n v="164.0"/>
        <n v="422.0"/>
        <n v="281.0"/>
        <n v="46.0"/>
        <n v="42.0"/>
        <n v="36.0"/>
        <n v="26.0"/>
        <n v="187.0"/>
        <n v="92.0"/>
        <n v="149.0"/>
        <n v="353.0"/>
        <n v="394.0"/>
        <n v="666.0"/>
        <n v="223.0"/>
        <n v="760.0"/>
        <n v="66.0"/>
        <n v="333.0"/>
        <n v="144.0"/>
        <n v="416.0"/>
        <n v="473.0"/>
        <n v="182.0"/>
        <n v="372.0"/>
        <n v="325.0"/>
        <n v="787.0"/>
        <n v="103.0"/>
        <n v="274.0"/>
        <n v="117.0"/>
        <n v="190.0"/>
        <n v="431.0"/>
        <n v="127.0"/>
        <n v="496.0"/>
        <n v="269.0"/>
        <n v="21.0"/>
        <n v="148.0"/>
        <n v="398.0"/>
        <n v="441.0"/>
        <n v="60.0"/>
        <n v="183.0"/>
        <n v="195.0"/>
        <n v="614.0"/>
        <n v="194.0"/>
        <n v="631.0"/>
        <n v="654.0"/>
        <n v="225.0"/>
        <n v="239.0"/>
        <n v="451.0"/>
        <n v="191.0"/>
        <n v="710.0"/>
        <n v="552.0"/>
        <n v="140.0"/>
        <n v="219.0"/>
        <n v="134.0"/>
        <n v="197.0"/>
        <n v="213.0"/>
        <n v="105.0"/>
        <n v="491.0"/>
        <n v="226.0"/>
        <n v="58.0"/>
        <n v="30.0"/>
        <n v="437.0"/>
        <n v="322.0"/>
        <n v="594.0"/>
        <n v="99.0"/>
        <n v="303.0"/>
        <n v="723.0"/>
        <n v="505.0"/>
        <n v="96.0"/>
        <n v="320.0"/>
        <n v="204.0"/>
        <n v="346.0"/>
        <n v="132.0"/>
        <n v="511.0"/>
        <n v="365.0"/>
        <n v="384.0"/>
        <n v="494.0"/>
        <n v="50.0"/>
        <n v="390.0"/>
        <n v="85.0"/>
        <n v="379.0"/>
        <n v="234.0"/>
        <n v="528.0"/>
        <n v="258.0"/>
        <n v="61.0"/>
        <n v="212.0"/>
        <n v="123.0"/>
        <n v="417.0"/>
        <n v="122.0"/>
        <n v="724.0"/>
        <n v="589.0"/>
        <n v="158.0"/>
        <n v="335.0"/>
        <n v="81.0"/>
        <n v="338.0"/>
        <n v="703.0"/>
        <n v="230.0"/>
        <n v="360.0"/>
        <n v="177.0"/>
        <n v="34.0"/>
        <n v="374.0"/>
        <n v="198.0"/>
        <n v="179.0"/>
        <n v="745.0"/>
        <n v="693.0"/>
        <n v="358.0"/>
        <n v="604.0"/>
        <n v="470.0"/>
        <n v="48.0"/>
        <n v="380.0"/>
        <n v="734.0"/>
        <n v="100.0"/>
        <n v="557.0"/>
        <n v="350.0"/>
        <n v="25.0"/>
        <n v="165.0"/>
        <n v="296.0"/>
        <n v="282.0"/>
        <n v="407.0"/>
        <n v="602.0"/>
        <n v="612.0"/>
        <n v="339.0"/>
        <n v="585.0"/>
        <n v="172.0"/>
        <n v="139.0"/>
        <n v="678.0"/>
        <n v="166.0"/>
        <n v="526.0"/>
        <n v="595.0"/>
        <n v="45.0"/>
        <n v="488.0"/>
        <n v="67.0"/>
        <n v="667.0"/>
        <n v="452.0"/>
        <n v="259.0"/>
        <n v="523.0"/>
        <n v="300.0"/>
        <n v="279.0"/>
        <n v="261.0"/>
        <n v="155.0"/>
        <n v="472.0"/>
        <n v="424.0"/>
        <n v="304.0"/>
        <n v="623.0"/>
        <n v="250.0"/>
        <n v="538.0"/>
        <n v="79.0"/>
        <n v="408.0"/>
        <n v="189.0"/>
        <n v="790.0"/>
        <n v="297.0"/>
        <n v="574.0"/>
        <n v="210.0"/>
        <n v="75.0"/>
        <n v="348.0"/>
        <n v="400.0"/>
        <n v="415.0"/>
        <n v="643.0"/>
        <n v="501.0"/>
        <n v="201.0"/>
        <n v="72.0"/>
        <n v="498.0"/>
        <n v="487.0"/>
        <n v="160.0"/>
        <n v="677.0"/>
        <n v="592.0"/>
        <n v="64.0"/>
        <n v="425.0"/>
        <n v="202.0"/>
        <n v="504.0"/>
        <n v="432.0"/>
        <n v="534.0"/>
        <n v="247.0"/>
        <n v="59.0"/>
        <n v="576.0"/>
        <n v="396.0"/>
        <n v="454.0"/>
        <n v="53.0"/>
        <n v="32.0"/>
        <n v="171.0"/>
        <n v="173.0"/>
        <n v="56.0"/>
        <n v="334.0"/>
        <n v="642.0"/>
        <n v="345.0"/>
        <n v="462.0"/>
        <n v="252.0"/>
        <n v="661.0"/>
        <n v="433.0"/>
        <n v="307.0"/>
        <n v="539.0"/>
        <n v="216.0"/>
        <n v="257.0"/>
        <n v="489.0"/>
        <n v="780.0"/>
        <n v="492.0"/>
        <n v="106.0"/>
        <n v="478.0"/>
        <n v="512.0"/>
        <n v="299.0"/>
        <n v="482.0"/>
        <n v="217.0"/>
        <n v="327.0"/>
        <n v="240.0"/>
        <n v="694.0"/>
        <n v="453.0"/>
        <n v="336.0"/>
        <n v="271.0"/>
        <n v="352.0"/>
        <n v="764.0"/>
        <n v="341.0"/>
        <n v="246.0"/>
        <n v="401.0"/>
        <n v="403.0"/>
        <n v="426.0"/>
        <n v="193.0"/>
        <n v="590.0"/>
        <n v="490.0"/>
        <n v="253.0"/>
        <n v="429.0"/>
        <n v="318.0"/>
        <n v="551.0"/>
        <n v="508.0"/>
        <n v="126.0"/>
        <n v="351.0"/>
        <n v="363.0"/>
        <n v="530.0"/>
        <n v="579.0"/>
        <n v="57.0"/>
        <n v="263.0"/>
        <n v="419.0"/>
        <n v="414.0"/>
        <n v="236.0"/>
        <n v="76.0"/>
        <n v="356.0"/>
        <n v="457.0"/>
        <n v="864.0"/>
        <n v="349.0"/>
        <n v="448.0"/>
        <n v="529.0"/>
        <n v="286.0"/>
        <n v="328.0"/>
        <n v="517.0"/>
        <n v="445.0"/>
        <n v="315.0"/>
        <n v="533.0"/>
        <n v="413.0"/>
        <n v="832.0"/>
        <n v="495.0"/>
        <n v="418.0"/>
        <n v="373.0"/>
        <n v="410.0"/>
        <n v="471.0"/>
        <n v="434.0"/>
        <n v="542.0"/>
        <n v="799.0"/>
        <n v="423.0"/>
        <n v="133.0"/>
        <n v="378.0"/>
        <n v="298.0"/>
        <n v="514.0"/>
        <n v="224.0"/>
        <n v="245.0"/>
        <n v="509.0"/>
        <n v="447.0"/>
        <n v="754.0"/>
        <n v="600.0"/>
        <n v="321.0"/>
        <n v="897.0"/>
        <n v="544.0"/>
        <n v="369.0"/>
      </sharedItems>
    </cacheField>
    <cacheField name="payment mode" numFmtId="0">
      <sharedItems>
        <s v="UPI"/>
        <s v="CARD"/>
        <s v="COD"/>
        <s v="NET BANKING"/>
        <s v="WALLET"/>
      </sharedItems>
    </cacheField>
    <cacheField name="order status" numFmtId="0">
      <sharedItems>
        <s v="DELIVERED"/>
        <s v="SHIPPED"/>
        <s v="CANCELLED"/>
        <s v="RETURNED"/>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0" cacheId="0" dataCaption="" compact="0" compactData="0">
  <location ref="A1:B10"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customer name" compact="0" outline="0" multipleItemSelectionAllowed="1" showAll="0">
      <items>
        <item x="0"/>
        <item x="1"/>
        <item x="2"/>
        <item x="3"/>
        <item x="4"/>
        <item x="5"/>
        <item x="6"/>
        <item x="7"/>
        <item x="8"/>
        <item x="9"/>
        <item t="default"/>
      </items>
    </pivotField>
    <pivotField name="state" compact="0" outline="0" multipleItemSelectionAllowed="1" showAll="0">
      <items>
        <item x="0"/>
        <item x="1"/>
        <item x="2"/>
        <item x="3"/>
        <item x="4"/>
        <item x="5"/>
        <item x="6"/>
        <item x="7"/>
        <item x="8"/>
        <item x="9"/>
        <item t="default"/>
      </items>
    </pivotField>
    <pivotField name="city" compact="0" outline="0" multipleItemSelectionAllowed="1" showAll="0">
      <items>
        <item x="0"/>
        <item x="1"/>
        <item x="2"/>
        <item x="3"/>
        <item x="4"/>
        <item x="5"/>
        <item x="6"/>
        <item x="7"/>
        <item x="8"/>
        <item x="9"/>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product name" axis="axisRow" compact="0" outline="0" multipleItemSelectionAllowed="1" showAll="0" sortType="ascending">
      <items>
        <item x="0"/>
        <item x="5"/>
        <item x="7"/>
        <item x="4"/>
        <item x="1"/>
        <item x="3"/>
        <item x="6"/>
        <item x="2"/>
        <item t="default"/>
      </items>
    </pivotField>
    <pivotField name="category" compact="0" outline="0" multipleItemSelectionAllowed="1" showAll="0">
      <items>
        <item x="0"/>
        <item x="1"/>
        <item x="2"/>
        <item x="3"/>
        <item x="4"/>
        <item x="5"/>
        <item x="6"/>
        <item x="7"/>
        <item t="default"/>
      </items>
    </pivotField>
    <pivotField name="quantity" dataField="1" compact="0" outline="0" multipleItemSelectionAllowed="1" showAll="0">
      <items>
        <item x="0"/>
        <item x="1"/>
        <item x="2"/>
        <item x="3"/>
        <item x="4"/>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t="default"/>
      </items>
    </pivotField>
    <pivotField name="discount" compact="0" numFmtId="9" outline="0" multipleItemSelectionAllowed="1" showAll="0">
      <items>
        <item x="0"/>
        <item x="1"/>
        <item x="2"/>
        <item x="3"/>
        <item x="4"/>
        <item x="5"/>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t="default"/>
      </items>
    </pivotField>
    <pivotField name="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 name="payment mode" compact="0" outline="0" multipleItemSelectionAllowed="1" showAll="0">
      <items>
        <item x="0"/>
        <item x="1"/>
        <item x="2"/>
        <item x="3"/>
        <item x="4"/>
        <item t="default"/>
      </items>
    </pivotField>
    <pivotField name="order status" compact="0" outline="0" multipleItemSelectionAllowed="1" showAll="0">
      <items>
        <item x="0"/>
        <item x="1"/>
        <item x="2"/>
        <item x="3"/>
        <item t="default"/>
      </items>
    </pivotField>
  </pivotFields>
  <rowFields>
    <field x="7"/>
  </rowFields>
  <dataFields>
    <dataField name="SUM of quantity" fld="9" baseField="0"/>
  </dataFields>
</pivotTableDefinition>
</file>

<file path=xl/pivotTables/pivotTable2.xml><?xml version="1.0" encoding="utf-8"?>
<pivotTableDefinition xmlns="http://schemas.openxmlformats.org/spreadsheetml/2006/main" name="Pivot Table 9" cacheId="0" dataCaption="" compact="0" compactData="0">
  <location ref="A1:E10" firstHeaderRow="0" firstDataRow="0"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customer name" compact="0" outline="0" multipleItemSelectionAllowed="1" showAll="0">
      <items>
        <item x="0"/>
        <item x="1"/>
        <item x="2"/>
        <item x="3"/>
        <item x="4"/>
        <item x="5"/>
        <item x="6"/>
        <item x="7"/>
        <item x="8"/>
        <item x="9"/>
        <item t="default"/>
      </items>
    </pivotField>
    <pivotField name="state" compact="0" outline="0" multipleItemSelectionAllowed="1" showAll="0">
      <items>
        <item x="0"/>
        <item x="1"/>
        <item x="2"/>
        <item x="3"/>
        <item x="4"/>
        <item x="5"/>
        <item x="6"/>
        <item x="7"/>
        <item x="8"/>
        <item x="9"/>
        <item t="default"/>
      </items>
    </pivotField>
    <pivotField name="city" compact="0" outline="0" multipleItemSelectionAllowed="1" showAll="0">
      <items>
        <item x="0"/>
        <item x="1"/>
        <item x="2"/>
        <item x="3"/>
        <item x="4"/>
        <item x="5"/>
        <item x="6"/>
        <item x="7"/>
        <item x="8"/>
        <item x="9"/>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product name" compact="0" outline="0" multipleItemSelectionAllowed="1" showAll="0">
      <items>
        <item x="0"/>
        <item x="1"/>
        <item x="2"/>
        <item x="3"/>
        <item x="4"/>
        <item x="5"/>
        <item x="6"/>
        <item x="7"/>
        <item t="default"/>
      </items>
    </pivotField>
    <pivotField name="category" compact="0" outline="0" multipleItemSelectionAllowed="1" showAll="0">
      <items>
        <item x="0"/>
        <item x="1"/>
        <item x="2"/>
        <item x="3"/>
        <item x="4"/>
        <item x="5"/>
        <item x="6"/>
        <item x="7"/>
        <item t="default"/>
      </items>
    </pivotField>
    <pivotField name="quantity" compact="0" outline="0" multipleItemSelectionAllowed="1" showAll="0">
      <items>
        <item x="0"/>
        <item x="1"/>
        <item x="2"/>
        <item x="3"/>
        <item x="4"/>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t="default"/>
      </items>
    </pivotField>
    <pivotField name="discount" compact="0" numFmtId="9" outline="0" multipleItemSelectionAllowed="1" showAll="0">
      <items>
        <item x="0"/>
        <item x="1"/>
        <item x="2"/>
        <item x="3"/>
        <item x="4"/>
        <item x="5"/>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t="default"/>
      </items>
    </pivotField>
    <pivotField name="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 name="payment mode" compact="0" outline="0" multipleItemSelectionAllowed="1" showAll="0">
      <items>
        <item x="0"/>
        <item x="1"/>
        <item x="2"/>
        <item x="3"/>
        <item x="4"/>
        <item t="default"/>
      </items>
    </pivotField>
    <pivotField name="order status" compact="0" outline="0" multipleItemSelectionAllowed="1" showAll="0">
      <items>
        <item x="0"/>
        <item x="1"/>
        <item x="2"/>
        <item x="3"/>
        <item t="default"/>
      </items>
    </pivotField>
  </pivotFields>
</pivotTableDefinition>
</file>

<file path=xl/pivotTables/pivotTable3.xml><?xml version="1.0" encoding="utf-8"?>
<pivotTableDefinition xmlns="http://schemas.openxmlformats.org/spreadsheetml/2006/main" name="Pivot Table 7" cacheId="0" dataCaption="" compact="0" compactData="0">
  <location ref="A1:B12"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customer name" compact="0" outline="0" multipleItemSelectionAllowed="1" showAll="0">
      <items>
        <item x="0"/>
        <item x="1"/>
        <item x="2"/>
        <item x="3"/>
        <item x="4"/>
        <item x="5"/>
        <item x="6"/>
        <item x="7"/>
        <item x="8"/>
        <item x="9"/>
        <item t="default"/>
      </items>
    </pivotField>
    <pivotField name="state" axis="axisRow" compact="0" outline="0" multipleItemSelectionAllowed="1" showAll="0" sortType="ascending">
      <items>
        <item x="3"/>
        <item x="6"/>
        <item x="2"/>
        <item x="1"/>
        <item x="9"/>
        <item x="7"/>
        <item x="0"/>
        <item x="4"/>
        <item x="5"/>
        <item x="8"/>
        <item t="default"/>
      </items>
    </pivotField>
    <pivotField name="city" compact="0" outline="0" multipleItemSelectionAllowed="1" showAll="0">
      <items>
        <item x="0"/>
        <item x="1"/>
        <item x="2"/>
        <item x="3"/>
        <item x="4"/>
        <item x="5"/>
        <item x="6"/>
        <item x="7"/>
        <item x="8"/>
        <item x="9"/>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product name" compact="0" outline="0" multipleItemSelectionAllowed="1" showAll="0">
      <items>
        <item x="0"/>
        <item x="1"/>
        <item x="2"/>
        <item x="3"/>
        <item x="4"/>
        <item x="5"/>
        <item x="6"/>
        <item x="7"/>
        <item t="default"/>
      </items>
    </pivotField>
    <pivotField name="category" compact="0" outline="0" multipleItemSelectionAllowed="1" showAll="0">
      <items>
        <item x="0"/>
        <item x="1"/>
        <item x="2"/>
        <item x="3"/>
        <item x="4"/>
        <item x="5"/>
        <item x="6"/>
        <item x="7"/>
        <item t="default"/>
      </items>
    </pivotField>
    <pivotField name="quantity" compact="0" outline="0" multipleItemSelectionAllowed="1" showAll="0">
      <items>
        <item x="0"/>
        <item x="1"/>
        <item x="2"/>
        <item x="3"/>
        <item x="4"/>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t="default"/>
      </items>
    </pivotField>
    <pivotField name="discount" compact="0" numFmtId="9" outline="0" multipleItemSelectionAllowed="1" showAll="0">
      <items>
        <item x="0"/>
        <item x="1"/>
        <item x="2"/>
        <item x="3"/>
        <item x="4"/>
        <item x="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t="default"/>
      </items>
    </pivotField>
    <pivotField name="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 name="payment mode" compact="0" outline="0" multipleItemSelectionAllowed="1" showAll="0">
      <items>
        <item x="0"/>
        <item x="1"/>
        <item x="2"/>
        <item x="3"/>
        <item x="4"/>
        <item t="default"/>
      </items>
    </pivotField>
    <pivotField name="order status" compact="0" outline="0" multipleItemSelectionAllowed="1" showAll="0">
      <items>
        <item x="0"/>
        <item x="1"/>
        <item x="2"/>
        <item x="3"/>
        <item t="default"/>
      </items>
    </pivotField>
  </pivotFields>
  <rowFields>
    <field x="4"/>
  </rowFields>
  <dataFields>
    <dataField name="SUM of sales" fld="12" baseField="0"/>
  </dataFields>
</pivotTableDefinition>
</file>

<file path=xl/pivotTables/pivotTable4.xml><?xml version="1.0" encoding="utf-8"?>
<pivotTableDefinition xmlns="http://schemas.openxmlformats.org/spreadsheetml/2006/main" name="Pivot Table 8" cacheId="0" dataCaption="" compact="0" compactData="0">
  <location ref="A1:B7" firstHeaderRow="0" firstDataRow="1" firstDataCol="0"/>
  <pivotFields>
    <pivotField name="order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customer name" compact="0" outline="0" multipleItemSelectionAllowed="1" showAll="0">
      <items>
        <item x="0"/>
        <item x="1"/>
        <item x="2"/>
        <item x="3"/>
        <item x="4"/>
        <item x="5"/>
        <item x="6"/>
        <item x="7"/>
        <item x="8"/>
        <item x="9"/>
        <item t="default"/>
      </items>
    </pivotField>
    <pivotField name="state" compact="0" outline="0" multipleItemSelectionAllowed="1" showAll="0">
      <items>
        <item x="0"/>
        <item x="1"/>
        <item x="2"/>
        <item x="3"/>
        <item x="4"/>
        <item x="5"/>
        <item x="6"/>
        <item x="7"/>
        <item x="8"/>
        <item x="9"/>
        <item t="default"/>
      </items>
    </pivotField>
    <pivotField name="city" compact="0" outline="0" multipleItemSelectionAllowed="1" showAll="0">
      <items>
        <item x="0"/>
        <item x="1"/>
        <item x="2"/>
        <item x="3"/>
        <item x="4"/>
        <item x="5"/>
        <item x="6"/>
        <item x="7"/>
        <item x="8"/>
        <item x="9"/>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product name" compact="0" outline="0" multipleItemSelectionAllowed="1" showAll="0">
      <items>
        <item x="0"/>
        <item x="1"/>
        <item x="2"/>
        <item x="3"/>
        <item x="4"/>
        <item x="5"/>
        <item x="6"/>
        <item x="7"/>
        <item t="default"/>
      </items>
    </pivotField>
    <pivotField name="category" compact="0" outline="0" multipleItemSelectionAllowed="1" showAll="0">
      <items>
        <item x="0"/>
        <item x="1"/>
        <item x="2"/>
        <item x="3"/>
        <item x="4"/>
        <item x="5"/>
        <item x="6"/>
        <item x="7"/>
        <item t="default"/>
      </items>
    </pivotField>
    <pivotField name="quantity" compact="0" outline="0" multipleItemSelectionAllowed="1" showAll="0">
      <items>
        <item x="0"/>
        <item x="1"/>
        <item x="2"/>
        <item x="3"/>
        <item x="4"/>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t="default"/>
      </items>
    </pivotField>
    <pivotField name="discount" compact="0" numFmtId="9" outline="0" multipleItemSelectionAllowed="1" showAll="0">
      <items>
        <item x="0"/>
        <item x="1"/>
        <item x="2"/>
        <item x="3"/>
        <item x="4"/>
        <item x="5"/>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t="default"/>
      </items>
    </pivotField>
    <pivotField name="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 name="payment mode" axis="axisRow" compact="0" outline="0" multipleItemSelectionAllowed="1" showAll="0" sortType="ascending">
      <items>
        <item x="1"/>
        <item x="2"/>
        <item x="3"/>
        <item x="0"/>
        <item x="4"/>
        <item t="default"/>
      </items>
    </pivotField>
    <pivotField name="order status" compact="0" outline="0" multipleItemSelectionAllowed="1" showAll="0">
      <items>
        <item x="0"/>
        <item x="1"/>
        <item x="2"/>
        <item x="3"/>
        <item t="default"/>
      </items>
    </pivotField>
  </pivotFields>
  <rowFields>
    <field x="15"/>
  </rowFields>
  <dataFields>
    <dataField name="COUNTA of order id" fld="0" subtotal="count" baseField="0"/>
  </dataFields>
</pivotTableDefinition>
</file>

<file path=xl/pivotTables/pivotTable5.xml><?xml version="1.0" encoding="utf-8"?>
<pivotTableDefinition xmlns="http://schemas.openxmlformats.org/spreadsheetml/2006/main" name="Pivot Table 6" cacheId="0" dataCaption="" compact="0" compactData="0">
  <location ref="A1:B10"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customer name" compact="0" outline="0" multipleItemSelectionAllowed="1" showAll="0">
      <items>
        <item x="0"/>
        <item x="1"/>
        <item x="2"/>
        <item x="3"/>
        <item x="4"/>
        <item x="5"/>
        <item x="6"/>
        <item x="7"/>
        <item x="8"/>
        <item x="9"/>
        <item t="default"/>
      </items>
    </pivotField>
    <pivotField name="state" compact="0" outline="0" multipleItemSelectionAllowed="1" showAll="0">
      <items>
        <item x="0"/>
        <item x="1"/>
        <item x="2"/>
        <item x="3"/>
        <item x="4"/>
        <item x="5"/>
        <item x="6"/>
        <item x="7"/>
        <item x="8"/>
        <item x="9"/>
        <item t="default"/>
      </items>
    </pivotField>
    <pivotField name="city" compact="0" outline="0" multipleItemSelectionAllowed="1" showAll="0">
      <items>
        <item x="0"/>
        <item x="1"/>
        <item x="2"/>
        <item x="3"/>
        <item x="4"/>
        <item x="5"/>
        <item x="6"/>
        <item x="7"/>
        <item x="8"/>
        <item x="9"/>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product name" compact="0" outline="0" multipleItemSelectionAllowed="1" showAll="0">
      <items>
        <item x="0"/>
        <item x="1"/>
        <item x="2"/>
        <item x="3"/>
        <item x="4"/>
        <item x="5"/>
        <item x="6"/>
        <item x="7"/>
        <item t="default"/>
      </items>
    </pivotField>
    <pivotField name="category" axis="axisRow" compact="0" outline="0" multipleItemSelectionAllowed="1" showAll="0" sortType="ascending">
      <items>
        <item x="3"/>
        <item x="0"/>
        <item x="2"/>
        <item x="5"/>
        <item x="7"/>
        <item x="6"/>
        <item x="1"/>
        <item x="4"/>
        <item t="default"/>
      </items>
    </pivotField>
    <pivotField name="quantity" compact="0" outline="0" multipleItemSelectionAllowed="1" showAll="0">
      <items>
        <item x="0"/>
        <item x="1"/>
        <item x="2"/>
        <item x="3"/>
        <item x="4"/>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t="default"/>
      </items>
    </pivotField>
    <pivotField name="discount" compact="0" numFmtId="9" outline="0" multipleItemSelectionAllowed="1" showAll="0">
      <items>
        <item x="0"/>
        <item x="1"/>
        <item x="2"/>
        <item x="3"/>
        <item x="4"/>
        <item x="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t="default"/>
      </items>
    </pivotField>
    <pivotField name="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 name="payment mode" compact="0" outline="0" multipleItemSelectionAllowed="1" showAll="0">
      <items>
        <item x="0"/>
        <item x="1"/>
        <item x="2"/>
        <item x="3"/>
        <item x="4"/>
        <item t="default"/>
      </items>
    </pivotField>
    <pivotField name="order status" compact="0" outline="0" multipleItemSelectionAllowed="1" showAll="0">
      <items>
        <item x="0"/>
        <item x="1"/>
        <item x="2"/>
        <item x="3"/>
        <item t="default"/>
      </items>
    </pivotField>
  </pivotFields>
  <rowFields>
    <field x="8"/>
  </rowFields>
  <dataFields>
    <dataField name="SUM of sales" fld="1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state">
  <x14:extLst>
    <ext uri="{2F2917AC-EB37-4324-AD4E-5DD8C200BD13}">
      <x15:tableSlicerCache tableId="1" column="5"/>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9" sourceName="category">
  <x14:extLst>
    <ext uri="{2F2917AC-EB37-4324-AD4E-5DD8C200BD13}">
      <x15:tableSlicerCache tableId="1" column="9"/>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6" sourceName="payment mode">
  <x14:extLst>
    <ext uri="{2F2917AC-EB37-4324-AD4E-5DD8C200BD13}">
      <x15:tableSlicerCache tableId="1" column="16"/>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7" sourceName="order status">
  <x14:extLst>
    <ext uri="{2F2917AC-EB37-4324-AD4E-5DD8C200BD13}">
      <x15:tableSlicerCache tableId="1" column="1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tate_1" cache="SlicerCache_Table_1_Col_5" caption="state" rowHeight="247650"/>
  <x14:slicer name="category_2" cache="SlicerCache_Table_1_Col_9" caption="category" rowHeight="247650"/>
  <x14:slicer name="payment mode_3" cache="SlicerCache_Table_1_Col_16" caption="payment mode" rowHeight="247650"/>
  <x14:slicer name="order status_4" cache="SlicerCache_Table_1_Col_17" caption="order status" rowHeight="247650"/>
</x14:slicers>
</file>

<file path=xl/tables/table1.xml><?xml version="1.0" encoding="utf-8"?>
<table xmlns="http://schemas.openxmlformats.org/spreadsheetml/2006/main" ref="A1:Q1000" displayName="Table_1" name="Table_1" id="1">
  <autoFilter ref="$A$1:$Q$1000"/>
  <tableColumns count="17">
    <tableColumn name="order id" id="1"/>
    <tableColumn name="order date" id="2"/>
    <tableColumn name="customer  id" id="3"/>
    <tableColumn name="customer name" id="4"/>
    <tableColumn name="state" id="5"/>
    <tableColumn name="city" id="6"/>
    <tableColumn name="product id" id="7"/>
    <tableColumn name="product name" id="8"/>
    <tableColumn name="category" id="9"/>
    <tableColumn name="quantity" id="10"/>
    <tableColumn name="unit price" id="11"/>
    <tableColumn name="discount" id="12"/>
    <tableColumn name="sales" id="13"/>
    <tableColumn name="cost" id="14"/>
    <tableColumn name="profit" id="15"/>
    <tableColumn name="payment mode" id="16"/>
    <tableColumn name="order status" id="1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0"/>
    <col customWidth="1" min="8" max="8" width="15.25"/>
    <col customWidth="1" min="9" max="9" width="18.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2">
        <f t="shared" ref="B2:B1000" si="1">RANDBETWEEN(DATE(2026,1,1),DATE(2026,12,31))</f>
        <v>46074</v>
      </c>
      <c r="C2" s="1" t="s">
        <v>18</v>
      </c>
      <c r="D2" s="3" t="str">
        <f t="shared" ref="D2:D1000" si="2">CHOOSE(MOD(ROW()-2,10)+1,"SRI","SHOBN","SOBI","SUJI","RATHA","SUSA","NIVE","VINO","ABI","NIHAAR")</f>
        <v>SRI</v>
      </c>
      <c r="E2" s="3" t="str">
        <f t="shared" ref="E2:E1000" si="3">CHOOSE(MOD(ROW()-2,10)+1,"TAMILNADU","KERALA","KARNATAKA","ANDHRA PRADESH","TELUGANA","UTTHRA PRADESH","GUJARAT","RAJASTHAN","WEST BENGAL","MAGARASTRA")</f>
        <v>TAMILNADU</v>
      </c>
      <c r="F2" s="3" t="str">
        <f t="shared" ref="F2:F1000" si="4">SWITCH(E2,"TAMILNADU","THOOTHUKUDI","KERALA","KOCHI","KARNATAKA","BANGALURU","ANDHRA PRADESH","TIRUPATI","TELUGANA","HYDERABAD","UTTHRA PRADESH","LUCKNOW","GUJARAT","SURAT","RAJASTHAN","JAIPUR","WEST BENGAL","KOLKATA","MAGARASTRA","PUNE")</f>
        <v>THOOTHUKUDI</v>
      </c>
      <c r="G2" s="1" t="s">
        <v>19</v>
      </c>
      <c r="H2" s="3" t="str">
        <f t="shared" ref="H2:H1000" si="5">CHOOSE(MOD(ROW()-2,8)+1,"ACCESSORIES","ELECTRONICS","SPORTS","FOOD","DRESS","BEAUTY","HOME &amp; KITCHEN","BOOKS")</f>
        <v>ACCESSORIES</v>
      </c>
      <c r="I2" s="3" t="str">
        <f t="shared" ref="I2:I1000" si="6">SWITCH(H2,"ACCESSORIES","EARRINGS","ELECTRONICS","WIRELESS EARBUDS","SPORTS","FOOTBALL","FOOD","BIRIYANI","DRESS","WOMEN WAERS","BEAUTY","KAJAL","HOME &amp; KITCHEN","MIXER GRAINDER","BOOKS","LIFE OF PI")</f>
        <v>EARRINGS</v>
      </c>
      <c r="J2" s="3">
        <f t="shared" ref="J2:J1000" si="7">RANDBETWEEN(1,5)</f>
        <v>2</v>
      </c>
      <c r="K2" s="3">
        <f t="shared" ref="K2:K1000" si="8">RANDBETWEEN(100,600)</f>
        <v>598</v>
      </c>
      <c r="L2" s="4">
        <f t="shared" ref="L2:L1000" si="9">CHOOSE(RANDBETWEEN(1,6),0,0.5,0.1,0.15,0.17,0.2)</f>
        <v>0.1</v>
      </c>
      <c r="M2" s="3">
        <f t="shared" ref="M2:M1000" si="10">J2*K2*(1-L2)</f>
        <v>1076.4</v>
      </c>
      <c r="N2" s="3">
        <f t="shared" ref="N2:N1000" si="11">ROUND(M2*70%,0)</f>
        <v>753</v>
      </c>
      <c r="O2" s="3">
        <f t="shared" ref="O2:O1000" si="12">ROUND(M2-N2,0)</f>
        <v>323</v>
      </c>
      <c r="P2" s="3" t="str">
        <f t="shared" ref="P2:P1000" si="13">CHOOSE(MOD(ROW()-2,5)+1,"UPI","CARD","COD","NET BANKING","WALLET")</f>
        <v>UPI</v>
      </c>
      <c r="Q2" s="3" t="str">
        <f t="shared" ref="Q2:Q1000" si="14">CHOOSE(MOD(ROW()-2,4)+1,"DELIVERED","SHIPPED","CANCELLED","RETURNED")</f>
        <v>DELIVERED</v>
      </c>
    </row>
    <row r="3">
      <c r="A3" s="1" t="s">
        <v>20</v>
      </c>
      <c r="B3" s="2">
        <f t="shared" si="1"/>
        <v>46287</v>
      </c>
      <c r="C3" s="1" t="s">
        <v>21</v>
      </c>
      <c r="D3" s="3" t="str">
        <f t="shared" si="2"/>
        <v>SHOBN</v>
      </c>
      <c r="E3" s="3" t="str">
        <f t="shared" si="3"/>
        <v>KERALA</v>
      </c>
      <c r="F3" s="3" t="str">
        <f t="shared" si="4"/>
        <v>KOCHI</v>
      </c>
      <c r="G3" s="1" t="s">
        <v>22</v>
      </c>
      <c r="H3" s="3" t="str">
        <f t="shared" si="5"/>
        <v>ELECTRONICS</v>
      </c>
      <c r="I3" s="3" t="str">
        <f t="shared" si="6"/>
        <v>WIRELESS EARBUDS</v>
      </c>
      <c r="J3" s="3">
        <f t="shared" si="7"/>
        <v>4</v>
      </c>
      <c r="K3" s="3">
        <f t="shared" si="8"/>
        <v>457</v>
      </c>
      <c r="L3" s="4">
        <f t="shared" si="9"/>
        <v>0.17</v>
      </c>
      <c r="M3" s="3">
        <f t="shared" si="10"/>
        <v>1517.24</v>
      </c>
      <c r="N3" s="3">
        <f t="shared" si="11"/>
        <v>1062</v>
      </c>
      <c r="O3" s="3">
        <f t="shared" si="12"/>
        <v>455</v>
      </c>
      <c r="P3" s="3" t="str">
        <f t="shared" si="13"/>
        <v>CARD</v>
      </c>
      <c r="Q3" s="3" t="str">
        <f t="shared" si="14"/>
        <v>SHIPPED</v>
      </c>
    </row>
    <row r="4">
      <c r="A4" s="1" t="s">
        <v>23</v>
      </c>
      <c r="B4" s="2">
        <f t="shared" si="1"/>
        <v>46236</v>
      </c>
      <c r="C4" s="1" t="s">
        <v>24</v>
      </c>
      <c r="D4" s="3" t="str">
        <f t="shared" si="2"/>
        <v>SOBI</v>
      </c>
      <c r="E4" s="3" t="str">
        <f t="shared" si="3"/>
        <v>KARNATAKA</v>
      </c>
      <c r="F4" s="3" t="str">
        <f t="shared" si="4"/>
        <v>BANGALURU</v>
      </c>
      <c r="G4" s="1" t="s">
        <v>25</v>
      </c>
      <c r="H4" s="3" t="str">
        <f t="shared" si="5"/>
        <v>SPORTS</v>
      </c>
      <c r="I4" s="3" t="str">
        <f t="shared" si="6"/>
        <v>FOOTBALL</v>
      </c>
      <c r="J4" s="3">
        <f t="shared" si="7"/>
        <v>1</v>
      </c>
      <c r="K4" s="3">
        <f t="shared" si="8"/>
        <v>539</v>
      </c>
      <c r="L4" s="4">
        <f t="shared" si="9"/>
        <v>0</v>
      </c>
      <c r="M4" s="3">
        <f t="shared" si="10"/>
        <v>539</v>
      </c>
      <c r="N4" s="3">
        <f t="shared" si="11"/>
        <v>377</v>
      </c>
      <c r="O4" s="3">
        <f t="shared" si="12"/>
        <v>162</v>
      </c>
      <c r="P4" s="3" t="str">
        <f t="shared" si="13"/>
        <v>COD</v>
      </c>
      <c r="Q4" s="3" t="str">
        <f t="shared" si="14"/>
        <v>CANCELLED</v>
      </c>
    </row>
    <row r="5">
      <c r="A5" s="1" t="s">
        <v>26</v>
      </c>
      <c r="B5" s="2">
        <f t="shared" si="1"/>
        <v>46294</v>
      </c>
      <c r="C5" s="1" t="s">
        <v>27</v>
      </c>
      <c r="D5" s="3" t="str">
        <f t="shared" si="2"/>
        <v>SUJI</v>
      </c>
      <c r="E5" s="3" t="str">
        <f t="shared" si="3"/>
        <v>ANDHRA PRADESH</v>
      </c>
      <c r="F5" s="3" t="str">
        <f t="shared" si="4"/>
        <v>TIRUPATI</v>
      </c>
      <c r="G5" s="1" t="s">
        <v>28</v>
      </c>
      <c r="H5" s="3" t="str">
        <f t="shared" si="5"/>
        <v>FOOD</v>
      </c>
      <c r="I5" s="3" t="str">
        <f t="shared" si="6"/>
        <v>BIRIYANI</v>
      </c>
      <c r="J5" s="3">
        <f t="shared" si="7"/>
        <v>3</v>
      </c>
      <c r="K5" s="3">
        <f t="shared" si="8"/>
        <v>567</v>
      </c>
      <c r="L5" s="4">
        <f t="shared" si="9"/>
        <v>0.1</v>
      </c>
      <c r="M5" s="3">
        <f t="shared" si="10"/>
        <v>1530.9</v>
      </c>
      <c r="N5" s="3">
        <f t="shared" si="11"/>
        <v>1072</v>
      </c>
      <c r="O5" s="3">
        <f t="shared" si="12"/>
        <v>459</v>
      </c>
      <c r="P5" s="3" t="str">
        <f t="shared" si="13"/>
        <v>NET BANKING</v>
      </c>
      <c r="Q5" s="3" t="str">
        <f t="shared" si="14"/>
        <v>RETURNED</v>
      </c>
    </row>
    <row r="6">
      <c r="A6" s="1" t="s">
        <v>29</v>
      </c>
      <c r="B6" s="2">
        <f t="shared" si="1"/>
        <v>46142</v>
      </c>
      <c r="C6" s="1" t="s">
        <v>30</v>
      </c>
      <c r="D6" s="3" t="str">
        <f t="shared" si="2"/>
        <v>RATHA</v>
      </c>
      <c r="E6" s="3" t="str">
        <f t="shared" si="3"/>
        <v>TELUGANA</v>
      </c>
      <c r="F6" s="3" t="str">
        <f t="shared" si="4"/>
        <v>HYDERABAD</v>
      </c>
      <c r="G6" s="1" t="s">
        <v>31</v>
      </c>
      <c r="H6" s="3" t="str">
        <f t="shared" si="5"/>
        <v>DRESS</v>
      </c>
      <c r="I6" s="3" t="str">
        <f t="shared" si="6"/>
        <v>WOMEN WAERS</v>
      </c>
      <c r="J6" s="3">
        <f t="shared" si="7"/>
        <v>2</v>
      </c>
      <c r="K6" s="3">
        <f t="shared" si="8"/>
        <v>542</v>
      </c>
      <c r="L6" s="4">
        <f t="shared" si="9"/>
        <v>0.1</v>
      </c>
      <c r="M6" s="3">
        <f t="shared" si="10"/>
        <v>975.6</v>
      </c>
      <c r="N6" s="3">
        <f t="shared" si="11"/>
        <v>683</v>
      </c>
      <c r="O6" s="3">
        <f t="shared" si="12"/>
        <v>293</v>
      </c>
      <c r="P6" s="3" t="str">
        <f t="shared" si="13"/>
        <v>WALLET</v>
      </c>
      <c r="Q6" s="3" t="str">
        <f t="shared" si="14"/>
        <v>DELIVERED</v>
      </c>
    </row>
    <row r="7">
      <c r="A7" s="1" t="s">
        <v>32</v>
      </c>
      <c r="B7" s="2">
        <f t="shared" si="1"/>
        <v>46093</v>
      </c>
      <c r="C7" s="1" t="s">
        <v>33</v>
      </c>
      <c r="D7" s="3" t="str">
        <f t="shared" si="2"/>
        <v>SUSA</v>
      </c>
      <c r="E7" s="3" t="str">
        <f t="shared" si="3"/>
        <v>UTTHRA PRADESH</v>
      </c>
      <c r="F7" s="3" t="str">
        <f t="shared" si="4"/>
        <v>LUCKNOW</v>
      </c>
      <c r="G7" s="1" t="s">
        <v>34</v>
      </c>
      <c r="H7" s="3" t="str">
        <f t="shared" si="5"/>
        <v>BEAUTY</v>
      </c>
      <c r="I7" s="3" t="str">
        <f t="shared" si="6"/>
        <v>KAJAL</v>
      </c>
      <c r="J7" s="3">
        <f t="shared" si="7"/>
        <v>5</v>
      </c>
      <c r="K7" s="3">
        <f t="shared" si="8"/>
        <v>545</v>
      </c>
      <c r="L7" s="4">
        <f t="shared" si="9"/>
        <v>0.15</v>
      </c>
      <c r="M7" s="3">
        <f t="shared" si="10"/>
        <v>2316.25</v>
      </c>
      <c r="N7" s="3">
        <f t="shared" si="11"/>
        <v>1621</v>
      </c>
      <c r="O7" s="3">
        <f t="shared" si="12"/>
        <v>695</v>
      </c>
      <c r="P7" s="3" t="str">
        <f t="shared" si="13"/>
        <v>UPI</v>
      </c>
      <c r="Q7" s="3" t="str">
        <f t="shared" si="14"/>
        <v>SHIPPED</v>
      </c>
    </row>
    <row r="8">
      <c r="A8" s="1" t="s">
        <v>35</v>
      </c>
      <c r="B8" s="2">
        <f t="shared" si="1"/>
        <v>46157</v>
      </c>
      <c r="C8" s="1" t="s">
        <v>36</v>
      </c>
      <c r="D8" s="3" t="str">
        <f t="shared" si="2"/>
        <v>NIVE</v>
      </c>
      <c r="E8" s="3" t="str">
        <f t="shared" si="3"/>
        <v>GUJARAT</v>
      </c>
      <c r="F8" s="3" t="str">
        <f t="shared" si="4"/>
        <v>SURAT</v>
      </c>
      <c r="G8" s="1" t="s">
        <v>37</v>
      </c>
      <c r="H8" s="3" t="str">
        <f t="shared" si="5"/>
        <v>HOME &amp; KITCHEN</v>
      </c>
      <c r="I8" s="3" t="str">
        <f t="shared" si="6"/>
        <v>MIXER GRAINDER</v>
      </c>
      <c r="J8" s="3">
        <f t="shared" si="7"/>
        <v>3</v>
      </c>
      <c r="K8" s="3">
        <f t="shared" si="8"/>
        <v>431</v>
      </c>
      <c r="L8" s="4">
        <f t="shared" si="9"/>
        <v>0</v>
      </c>
      <c r="M8" s="3">
        <f t="shared" si="10"/>
        <v>1293</v>
      </c>
      <c r="N8" s="3">
        <f t="shared" si="11"/>
        <v>905</v>
      </c>
      <c r="O8" s="3">
        <f t="shared" si="12"/>
        <v>388</v>
      </c>
      <c r="P8" s="3" t="str">
        <f t="shared" si="13"/>
        <v>CARD</v>
      </c>
      <c r="Q8" s="3" t="str">
        <f t="shared" si="14"/>
        <v>CANCELLED</v>
      </c>
    </row>
    <row r="9">
      <c r="A9" s="1" t="s">
        <v>38</v>
      </c>
      <c r="B9" s="2">
        <f t="shared" si="1"/>
        <v>46251</v>
      </c>
      <c r="C9" s="1" t="s">
        <v>39</v>
      </c>
      <c r="D9" s="3" t="str">
        <f t="shared" si="2"/>
        <v>VINO</v>
      </c>
      <c r="E9" s="3" t="str">
        <f t="shared" si="3"/>
        <v>RAJASTHAN</v>
      </c>
      <c r="F9" s="3" t="str">
        <f t="shared" si="4"/>
        <v>JAIPUR</v>
      </c>
      <c r="G9" s="1" t="s">
        <v>40</v>
      </c>
      <c r="H9" s="3" t="str">
        <f t="shared" si="5"/>
        <v>BOOKS</v>
      </c>
      <c r="I9" s="3" t="str">
        <f t="shared" si="6"/>
        <v>LIFE OF PI</v>
      </c>
      <c r="J9" s="3">
        <f t="shared" si="7"/>
        <v>1</v>
      </c>
      <c r="K9" s="3">
        <f t="shared" si="8"/>
        <v>502</v>
      </c>
      <c r="L9" s="4">
        <f t="shared" si="9"/>
        <v>0.17</v>
      </c>
      <c r="M9" s="3">
        <f t="shared" si="10"/>
        <v>416.66</v>
      </c>
      <c r="N9" s="3">
        <f t="shared" si="11"/>
        <v>292</v>
      </c>
      <c r="O9" s="3">
        <f t="shared" si="12"/>
        <v>125</v>
      </c>
      <c r="P9" s="3" t="str">
        <f t="shared" si="13"/>
        <v>COD</v>
      </c>
      <c r="Q9" s="3" t="str">
        <f t="shared" si="14"/>
        <v>RETURNED</v>
      </c>
    </row>
    <row r="10">
      <c r="A10" s="1" t="s">
        <v>41</v>
      </c>
      <c r="B10" s="2">
        <f t="shared" si="1"/>
        <v>46104</v>
      </c>
      <c r="C10" s="1" t="s">
        <v>42</v>
      </c>
      <c r="D10" s="3" t="str">
        <f t="shared" si="2"/>
        <v>ABI</v>
      </c>
      <c r="E10" s="3" t="str">
        <f t="shared" si="3"/>
        <v>WEST BENGAL</v>
      </c>
      <c r="F10" s="3" t="str">
        <f t="shared" si="4"/>
        <v>KOLKATA</v>
      </c>
      <c r="G10" s="1" t="s">
        <v>43</v>
      </c>
      <c r="H10" s="3" t="str">
        <f t="shared" si="5"/>
        <v>ACCESSORIES</v>
      </c>
      <c r="I10" s="3" t="str">
        <f t="shared" si="6"/>
        <v>EARRINGS</v>
      </c>
      <c r="J10" s="3">
        <f t="shared" si="7"/>
        <v>3</v>
      </c>
      <c r="K10" s="3">
        <f t="shared" si="8"/>
        <v>226</v>
      </c>
      <c r="L10" s="4">
        <f t="shared" si="9"/>
        <v>0</v>
      </c>
      <c r="M10" s="3">
        <f t="shared" si="10"/>
        <v>678</v>
      </c>
      <c r="N10" s="3">
        <f t="shared" si="11"/>
        <v>475</v>
      </c>
      <c r="O10" s="3">
        <f t="shared" si="12"/>
        <v>203</v>
      </c>
      <c r="P10" s="3" t="str">
        <f t="shared" si="13"/>
        <v>NET BANKING</v>
      </c>
      <c r="Q10" s="3" t="str">
        <f t="shared" si="14"/>
        <v>DELIVERED</v>
      </c>
    </row>
    <row r="11">
      <c r="A11" s="1" t="s">
        <v>44</v>
      </c>
      <c r="B11" s="2">
        <f t="shared" si="1"/>
        <v>46247</v>
      </c>
      <c r="C11" s="1" t="s">
        <v>45</v>
      </c>
      <c r="D11" s="3" t="str">
        <f t="shared" si="2"/>
        <v>NIHAAR</v>
      </c>
      <c r="E11" s="3" t="str">
        <f t="shared" si="3"/>
        <v>MAGARASTRA</v>
      </c>
      <c r="F11" s="3" t="str">
        <f t="shared" si="4"/>
        <v>PUNE</v>
      </c>
      <c r="G11" s="1" t="s">
        <v>46</v>
      </c>
      <c r="H11" s="3" t="str">
        <f t="shared" si="5"/>
        <v>ELECTRONICS</v>
      </c>
      <c r="I11" s="3" t="str">
        <f t="shared" si="6"/>
        <v>WIRELESS EARBUDS</v>
      </c>
      <c r="J11" s="3">
        <f t="shared" si="7"/>
        <v>2</v>
      </c>
      <c r="K11" s="3">
        <f t="shared" si="8"/>
        <v>166</v>
      </c>
      <c r="L11" s="4">
        <f t="shared" si="9"/>
        <v>0.15</v>
      </c>
      <c r="M11" s="3">
        <f t="shared" si="10"/>
        <v>282.2</v>
      </c>
      <c r="N11" s="3">
        <f t="shared" si="11"/>
        <v>198</v>
      </c>
      <c r="O11" s="3">
        <f t="shared" si="12"/>
        <v>84</v>
      </c>
      <c r="P11" s="3" t="str">
        <f t="shared" si="13"/>
        <v>WALLET</v>
      </c>
      <c r="Q11" s="3" t="str">
        <f t="shared" si="14"/>
        <v>SHIPPED</v>
      </c>
    </row>
    <row r="12">
      <c r="A12" s="1" t="s">
        <v>47</v>
      </c>
      <c r="B12" s="2">
        <f t="shared" si="1"/>
        <v>46282</v>
      </c>
      <c r="C12" s="1" t="s">
        <v>48</v>
      </c>
      <c r="D12" s="3" t="str">
        <f t="shared" si="2"/>
        <v>SRI</v>
      </c>
      <c r="E12" s="3" t="str">
        <f t="shared" si="3"/>
        <v>TAMILNADU</v>
      </c>
      <c r="F12" s="3" t="str">
        <f t="shared" si="4"/>
        <v>THOOTHUKUDI</v>
      </c>
      <c r="G12" s="1" t="s">
        <v>49</v>
      </c>
      <c r="H12" s="3" t="str">
        <f t="shared" si="5"/>
        <v>SPORTS</v>
      </c>
      <c r="I12" s="3" t="str">
        <f t="shared" si="6"/>
        <v>FOOTBALL</v>
      </c>
      <c r="J12" s="3">
        <f t="shared" si="7"/>
        <v>2</v>
      </c>
      <c r="K12" s="3">
        <f t="shared" si="8"/>
        <v>229</v>
      </c>
      <c r="L12" s="4">
        <f t="shared" si="9"/>
        <v>0.5</v>
      </c>
      <c r="M12" s="3">
        <f t="shared" si="10"/>
        <v>229</v>
      </c>
      <c r="N12" s="3">
        <f t="shared" si="11"/>
        <v>160</v>
      </c>
      <c r="O12" s="3">
        <f t="shared" si="12"/>
        <v>69</v>
      </c>
      <c r="P12" s="3" t="str">
        <f t="shared" si="13"/>
        <v>UPI</v>
      </c>
      <c r="Q12" s="3" t="str">
        <f t="shared" si="14"/>
        <v>CANCELLED</v>
      </c>
    </row>
    <row r="13">
      <c r="A13" s="1" t="s">
        <v>50</v>
      </c>
      <c r="B13" s="2">
        <f t="shared" si="1"/>
        <v>46061</v>
      </c>
      <c r="C13" s="1" t="s">
        <v>51</v>
      </c>
      <c r="D13" s="3" t="str">
        <f t="shared" si="2"/>
        <v>SHOBN</v>
      </c>
      <c r="E13" s="3" t="str">
        <f t="shared" si="3"/>
        <v>KERALA</v>
      </c>
      <c r="F13" s="3" t="str">
        <f t="shared" si="4"/>
        <v>KOCHI</v>
      </c>
      <c r="G13" s="1" t="s">
        <v>52</v>
      </c>
      <c r="H13" s="3" t="str">
        <f t="shared" si="5"/>
        <v>FOOD</v>
      </c>
      <c r="I13" s="3" t="str">
        <f t="shared" si="6"/>
        <v>BIRIYANI</v>
      </c>
      <c r="J13" s="3">
        <f t="shared" si="7"/>
        <v>2</v>
      </c>
      <c r="K13" s="3">
        <f t="shared" si="8"/>
        <v>425</v>
      </c>
      <c r="L13" s="4">
        <f t="shared" si="9"/>
        <v>0.1</v>
      </c>
      <c r="M13" s="3">
        <f t="shared" si="10"/>
        <v>765</v>
      </c>
      <c r="N13" s="3">
        <f t="shared" si="11"/>
        <v>536</v>
      </c>
      <c r="O13" s="3">
        <f t="shared" si="12"/>
        <v>229</v>
      </c>
      <c r="P13" s="3" t="str">
        <f t="shared" si="13"/>
        <v>CARD</v>
      </c>
      <c r="Q13" s="3" t="str">
        <f t="shared" si="14"/>
        <v>RETURNED</v>
      </c>
    </row>
    <row r="14">
      <c r="A14" s="1" t="s">
        <v>53</v>
      </c>
      <c r="B14" s="2">
        <f t="shared" si="1"/>
        <v>46206</v>
      </c>
      <c r="C14" s="1" t="s">
        <v>54</v>
      </c>
      <c r="D14" s="3" t="str">
        <f t="shared" si="2"/>
        <v>SOBI</v>
      </c>
      <c r="E14" s="3" t="str">
        <f t="shared" si="3"/>
        <v>KARNATAKA</v>
      </c>
      <c r="F14" s="3" t="str">
        <f t="shared" si="4"/>
        <v>BANGALURU</v>
      </c>
      <c r="G14" s="1" t="s">
        <v>55</v>
      </c>
      <c r="H14" s="3" t="str">
        <f t="shared" si="5"/>
        <v>DRESS</v>
      </c>
      <c r="I14" s="3" t="str">
        <f t="shared" si="6"/>
        <v>WOMEN WAERS</v>
      </c>
      <c r="J14" s="3">
        <f t="shared" si="7"/>
        <v>3</v>
      </c>
      <c r="K14" s="3">
        <f t="shared" si="8"/>
        <v>540</v>
      </c>
      <c r="L14" s="4">
        <f t="shared" si="9"/>
        <v>0</v>
      </c>
      <c r="M14" s="3">
        <f t="shared" si="10"/>
        <v>1620</v>
      </c>
      <c r="N14" s="3">
        <f t="shared" si="11"/>
        <v>1134</v>
      </c>
      <c r="O14" s="3">
        <f t="shared" si="12"/>
        <v>486</v>
      </c>
      <c r="P14" s="3" t="str">
        <f t="shared" si="13"/>
        <v>COD</v>
      </c>
      <c r="Q14" s="3" t="str">
        <f t="shared" si="14"/>
        <v>DELIVERED</v>
      </c>
    </row>
    <row r="15">
      <c r="A15" s="1" t="s">
        <v>56</v>
      </c>
      <c r="B15" s="2">
        <f t="shared" si="1"/>
        <v>46324</v>
      </c>
      <c r="C15" s="1" t="s">
        <v>57</v>
      </c>
      <c r="D15" s="3" t="str">
        <f t="shared" si="2"/>
        <v>SUJI</v>
      </c>
      <c r="E15" s="3" t="str">
        <f t="shared" si="3"/>
        <v>ANDHRA PRADESH</v>
      </c>
      <c r="F15" s="3" t="str">
        <f t="shared" si="4"/>
        <v>TIRUPATI</v>
      </c>
      <c r="G15" s="1" t="s">
        <v>58</v>
      </c>
      <c r="H15" s="3" t="str">
        <f t="shared" si="5"/>
        <v>BEAUTY</v>
      </c>
      <c r="I15" s="3" t="str">
        <f t="shared" si="6"/>
        <v>KAJAL</v>
      </c>
      <c r="J15" s="3">
        <f t="shared" si="7"/>
        <v>4</v>
      </c>
      <c r="K15" s="3">
        <f t="shared" si="8"/>
        <v>344</v>
      </c>
      <c r="L15" s="4">
        <f t="shared" si="9"/>
        <v>0.2</v>
      </c>
      <c r="M15" s="3">
        <f t="shared" si="10"/>
        <v>1100.8</v>
      </c>
      <c r="N15" s="3">
        <f t="shared" si="11"/>
        <v>771</v>
      </c>
      <c r="O15" s="3">
        <f t="shared" si="12"/>
        <v>330</v>
      </c>
      <c r="P15" s="3" t="str">
        <f t="shared" si="13"/>
        <v>NET BANKING</v>
      </c>
      <c r="Q15" s="3" t="str">
        <f t="shared" si="14"/>
        <v>SHIPPED</v>
      </c>
    </row>
    <row r="16">
      <c r="A16" s="1" t="s">
        <v>59</v>
      </c>
      <c r="B16" s="2">
        <f t="shared" si="1"/>
        <v>46299</v>
      </c>
      <c r="C16" s="1" t="s">
        <v>60</v>
      </c>
      <c r="D16" s="3" t="str">
        <f t="shared" si="2"/>
        <v>RATHA</v>
      </c>
      <c r="E16" s="3" t="str">
        <f t="shared" si="3"/>
        <v>TELUGANA</v>
      </c>
      <c r="F16" s="3" t="str">
        <f t="shared" si="4"/>
        <v>HYDERABAD</v>
      </c>
      <c r="G16" s="1" t="s">
        <v>61</v>
      </c>
      <c r="H16" s="3" t="str">
        <f t="shared" si="5"/>
        <v>HOME &amp; KITCHEN</v>
      </c>
      <c r="I16" s="3" t="str">
        <f t="shared" si="6"/>
        <v>MIXER GRAINDER</v>
      </c>
      <c r="J16" s="3">
        <f t="shared" si="7"/>
        <v>2</v>
      </c>
      <c r="K16" s="3">
        <f t="shared" si="8"/>
        <v>519</v>
      </c>
      <c r="L16" s="4">
        <f t="shared" si="9"/>
        <v>0.1</v>
      </c>
      <c r="M16" s="3">
        <f t="shared" si="10"/>
        <v>934.2</v>
      </c>
      <c r="N16" s="3">
        <f t="shared" si="11"/>
        <v>654</v>
      </c>
      <c r="O16" s="3">
        <f t="shared" si="12"/>
        <v>280</v>
      </c>
      <c r="P16" s="3" t="str">
        <f t="shared" si="13"/>
        <v>WALLET</v>
      </c>
      <c r="Q16" s="3" t="str">
        <f t="shared" si="14"/>
        <v>CANCELLED</v>
      </c>
    </row>
    <row r="17">
      <c r="A17" s="1" t="s">
        <v>62</v>
      </c>
      <c r="B17" s="2">
        <f t="shared" si="1"/>
        <v>46353</v>
      </c>
      <c r="C17" s="1" t="s">
        <v>63</v>
      </c>
      <c r="D17" s="3" t="str">
        <f t="shared" si="2"/>
        <v>SUSA</v>
      </c>
      <c r="E17" s="3" t="str">
        <f t="shared" si="3"/>
        <v>UTTHRA PRADESH</v>
      </c>
      <c r="F17" s="3" t="str">
        <f t="shared" si="4"/>
        <v>LUCKNOW</v>
      </c>
      <c r="G17" s="1" t="s">
        <v>64</v>
      </c>
      <c r="H17" s="3" t="str">
        <f t="shared" si="5"/>
        <v>BOOKS</v>
      </c>
      <c r="I17" s="3" t="str">
        <f t="shared" si="6"/>
        <v>LIFE OF PI</v>
      </c>
      <c r="J17" s="3">
        <f t="shared" si="7"/>
        <v>3</v>
      </c>
      <c r="K17" s="3">
        <f t="shared" si="8"/>
        <v>273</v>
      </c>
      <c r="L17" s="4">
        <f t="shared" si="9"/>
        <v>0.15</v>
      </c>
      <c r="M17" s="3">
        <f t="shared" si="10"/>
        <v>696.15</v>
      </c>
      <c r="N17" s="3">
        <f t="shared" si="11"/>
        <v>487</v>
      </c>
      <c r="O17" s="3">
        <f t="shared" si="12"/>
        <v>209</v>
      </c>
      <c r="P17" s="3" t="str">
        <f t="shared" si="13"/>
        <v>UPI</v>
      </c>
      <c r="Q17" s="3" t="str">
        <f t="shared" si="14"/>
        <v>RETURNED</v>
      </c>
    </row>
    <row r="18">
      <c r="A18" s="1" t="s">
        <v>65</v>
      </c>
      <c r="B18" s="2">
        <f t="shared" si="1"/>
        <v>46288</v>
      </c>
      <c r="C18" s="1" t="s">
        <v>66</v>
      </c>
      <c r="D18" s="3" t="str">
        <f t="shared" si="2"/>
        <v>NIVE</v>
      </c>
      <c r="E18" s="3" t="str">
        <f t="shared" si="3"/>
        <v>GUJARAT</v>
      </c>
      <c r="F18" s="3" t="str">
        <f t="shared" si="4"/>
        <v>SURAT</v>
      </c>
      <c r="G18" s="1" t="s">
        <v>67</v>
      </c>
      <c r="H18" s="3" t="str">
        <f t="shared" si="5"/>
        <v>ACCESSORIES</v>
      </c>
      <c r="I18" s="3" t="str">
        <f t="shared" si="6"/>
        <v>EARRINGS</v>
      </c>
      <c r="J18" s="3">
        <f t="shared" si="7"/>
        <v>2</v>
      </c>
      <c r="K18" s="3">
        <f t="shared" si="8"/>
        <v>250</v>
      </c>
      <c r="L18" s="4">
        <f t="shared" si="9"/>
        <v>0.1</v>
      </c>
      <c r="M18" s="3">
        <f t="shared" si="10"/>
        <v>450</v>
      </c>
      <c r="N18" s="3">
        <f t="shared" si="11"/>
        <v>315</v>
      </c>
      <c r="O18" s="3">
        <f t="shared" si="12"/>
        <v>135</v>
      </c>
      <c r="P18" s="3" t="str">
        <f t="shared" si="13"/>
        <v>CARD</v>
      </c>
      <c r="Q18" s="3" t="str">
        <f t="shared" si="14"/>
        <v>DELIVERED</v>
      </c>
    </row>
    <row r="19">
      <c r="A19" s="1" t="s">
        <v>68</v>
      </c>
      <c r="B19" s="2">
        <f t="shared" si="1"/>
        <v>46327</v>
      </c>
      <c r="C19" s="1" t="s">
        <v>69</v>
      </c>
      <c r="D19" s="3" t="str">
        <f t="shared" si="2"/>
        <v>VINO</v>
      </c>
      <c r="E19" s="3" t="str">
        <f t="shared" si="3"/>
        <v>RAJASTHAN</v>
      </c>
      <c r="F19" s="3" t="str">
        <f t="shared" si="4"/>
        <v>JAIPUR</v>
      </c>
      <c r="G19" s="1" t="s">
        <v>70</v>
      </c>
      <c r="H19" s="3" t="str">
        <f t="shared" si="5"/>
        <v>ELECTRONICS</v>
      </c>
      <c r="I19" s="3" t="str">
        <f t="shared" si="6"/>
        <v>WIRELESS EARBUDS</v>
      </c>
      <c r="J19" s="3">
        <f t="shared" si="7"/>
        <v>4</v>
      </c>
      <c r="K19" s="3">
        <f t="shared" si="8"/>
        <v>461</v>
      </c>
      <c r="L19" s="4">
        <f t="shared" si="9"/>
        <v>0.2</v>
      </c>
      <c r="M19" s="3">
        <f t="shared" si="10"/>
        <v>1475.2</v>
      </c>
      <c r="N19" s="3">
        <f t="shared" si="11"/>
        <v>1033</v>
      </c>
      <c r="O19" s="3">
        <f t="shared" si="12"/>
        <v>442</v>
      </c>
      <c r="P19" s="3" t="str">
        <f t="shared" si="13"/>
        <v>COD</v>
      </c>
      <c r="Q19" s="3" t="str">
        <f t="shared" si="14"/>
        <v>SHIPPED</v>
      </c>
    </row>
    <row r="20">
      <c r="A20" s="1" t="s">
        <v>71</v>
      </c>
      <c r="B20" s="2">
        <f t="shared" si="1"/>
        <v>46042</v>
      </c>
      <c r="C20" s="1" t="s">
        <v>72</v>
      </c>
      <c r="D20" s="3" t="str">
        <f t="shared" si="2"/>
        <v>ABI</v>
      </c>
      <c r="E20" s="3" t="str">
        <f t="shared" si="3"/>
        <v>WEST BENGAL</v>
      </c>
      <c r="F20" s="3" t="str">
        <f t="shared" si="4"/>
        <v>KOLKATA</v>
      </c>
      <c r="G20" s="1" t="s">
        <v>73</v>
      </c>
      <c r="H20" s="3" t="str">
        <f t="shared" si="5"/>
        <v>SPORTS</v>
      </c>
      <c r="I20" s="3" t="str">
        <f t="shared" si="6"/>
        <v>FOOTBALL</v>
      </c>
      <c r="J20" s="3">
        <f t="shared" si="7"/>
        <v>2</v>
      </c>
      <c r="K20" s="3">
        <f t="shared" si="8"/>
        <v>165</v>
      </c>
      <c r="L20" s="4">
        <f t="shared" si="9"/>
        <v>0.17</v>
      </c>
      <c r="M20" s="3">
        <f t="shared" si="10"/>
        <v>273.9</v>
      </c>
      <c r="N20" s="3">
        <f t="shared" si="11"/>
        <v>192</v>
      </c>
      <c r="O20" s="3">
        <f t="shared" si="12"/>
        <v>82</v>
      </c>
      <c r="P20" s="3" t="str">
        <f t="shared" si="13"/>
        <v>NET BANKING</v>
      </c>
      <c r="Q20" s="3" t="str">
        <f t="shared" si="14"/>
        <v>CANCELLED</v>
      </c>
    </row>
    <row r="21">
      <c r="A21" s="1" t="s">
        <v>74</v>
      </c>
      <c r="B21" s="2">
        <f t="shared" si="1"/>
        <v>46216</v>
      </c>
      <c r="C21" s="1" t="s">
        <v>75</v>
      </c>
      <c r="D21" s="3" t="str">
        <f t="shared" si="2"/>
        <v>NIHAAR</v>
      </c>
      <c r="E21" s="3" t="str">
        <f t="shared" si="3"/>
        <v>MAGARASTRA</v>
      </c>
      <c r="F21" s="3" t="str">
        <f t="shared" si="4"/>
        <v>PUNE</v>
      </c>
      <c r="G21" s="1" t="s">
        <v>76</v>
      </c>
      <c r="H21" s="3" t="str">
        <f t="shared" si="5"/>
        <v>FOOD</v>
      </c>
      <c r="I21" s="3" t="str">
        <f t="shared" si="6"/>
        <v>BIRIYANI</v>
      </c>
      <c r="J21" s="3">
        <f t="shared" si="7"/>
        <v>5</v>
      </c>
      <c r="K21" s="3">
        <f t="shared" si="8"/>
        <v>250</v>
      </c>
      <c r="L21" s="4">
        <f t="shared" si="9"/>
        <v>0.15</v>
      </c>
      <c r="M21" s="3">
        <f t="shared" si="10"/>
        <v>1062.5</v>
      </c>
      <c r="N21" s="3">
        <f t="shared" si="11"/>
        <v>744</v>
      </c>
      <c r="O21" s="3">
        <f t="shared" si="12"/>
        <v>319</v>
      </c>
      <c r="P21" s="3" t="str">
        <f t="shared" si="13"/>
        <v>WALLET</v>
      </c>
      <c r="Q21" s="3" t="str">
        <f t="shared" si="14"/>
        <v>RETURNED</v>
      </c>
    </row>
    <row r="22">
      <c r="A22" s="1" t="s">
        <v>77</v>
      </c>
      <c r="B22" s="2">
        <f t="shared" si="1"/>
        <v>46194</v>
      </c>
      <c r="C22" s="1" t="s">
        <v>78</v>
      </c>
      <c r="D22" s="3" t="str">
        <f t="shared" si="2"/>
        <v>SRI</v>
      </c>
      <c r="E22" s="3" t="str">
        <f t="shared" si="3"/>
        <v>TAMILNADU</v>
      </c>
      <c r="F22" s="3" t="str">
        <f t="shared" si="4"/>
        <v>THOOTHUKUDI</v>
      </c>
      <c r="G22" s="1" t="s">
        <v>79</v>
      </c>
      <c r="H22" s="3" t="str">
        <f t="shared" si="5"/>
        <v>DRESS</v>
      </c>
      <c r="I22" s="3" t="str">
        <f t="shared" si="6"/>
        <v>WOMEN WAERS</v>
      </c>
      <c r="J22" s="3">
        <f t="shared" si="7"/>
        <v>2</v>
      </c>
      <c r="K22" s="3">
        <f t="shared" si="8"/>
        <v>461</v>
      </c>
      <c r="L22" s="4">
        <f t="shared" si="9"/>
        <v>0.2</v>
      </c>
      <c r="M22" s="3">
        <f t="shared" si="10"/>
        <v>737.6</v>
      </c>
      <c r="N22" s="3">
        <f t="shared" si="11"/>
        <v>516</v>
      </c>
      <c r="O22" s="3">
        <f t="shared" si="12"/>
        <v>222</v>
      </c>
      <c r="P22" s="3" t="str">
        <f t="shared" si="13"/>
        <v>UPI</v>
      </c>
      <c r="Q22" s="3" t="str">
        <f t="shared" si="14"/>
        <v>DELIVERED</v>
      </c>
    </row>
    <row r="23">
      <c r="A23" s="1" t="s">
        <v>80</v>
      </c>
      <c r="B23" s="2">
        <f t="shared" si="1"/>
        <v>46193</v>
      </c>
      <c r="C23" s="1" t="s">
        <v>81</v>
      </c>
      <c r="D23" s="3" t="str">
        <f t="shared" si="2"/>
        <v>SHOBN</v>
      </c>
      <c r="E23" s="3" t="str">
        <f t="shared" si="3"/>
        <v>KERALA</v>
      </c>
      <c r="F23" s="3" t="str">
        <f t="shared" si="4"/>
        <v>KOCHI</v>
      </c>
      <c r="G23" s="1" t="s">
        <v>82</v>
      </c>
      <c r="H23" s="3" t="str">
        <f t="shared" si="5"/>
        <v>BEAUTY</v>
      </c>
      <c r="I23" s="3" t="str">
        <f t="shared" si="6"/>
        <v>KAJAL</v>
      </c>
      <c r="J23" s="3">
        <f t="shared" si="7"/>
        <v>1</v>
      </c>
      <c r="K23" s="3">
        <f t="shared" si="8"/>
        <v>529</v>
      </c>
      <c r="L23" s="4">
        <f t="shared" si="9"/>
        <v>0.1</v>
      </c>
      <c r="M23" s="3">
        <f t="shared" si="10"/>
        <v>476.1</v>
      </c>
      <c r="N23" s="3">
        <f t="shared" si="11"/>
        <v>333</v>
      </c>
      <c r="O23" s="3">
        <f t="shared" si="12"/>
        <v>143</v>
      </c>
      <c r="P23" s="3" t="str">
        <f t="shared" si="13"/>
        <v>CARD</v>
      </c>
      <c r="Q23" s="3" t="str">
        <f t="shared" si="14"/>
        <v>SHIPPED</v>
      </c>
    </row>
    <row r="24">
      <c r="A24" s="1" t="s">
        <v>83</v>
      </c>
      <c r="B24" s="2">
        <f t="shared" si="1"/>
        <v>46185</v>
      </c>
      <c r="C24" s="1" t="s">
        <v>84</v>
      </c>
      <c r="D24" s="3" t="str">
        <f t="shared" si="2"/>
        <v>SOBI</v>
      </c>
      <c r="E24" s="3" t="str">
        <f t="shared" si="3"/>
        <v>KARNATAKA</v>
      </c>
      <c r="F24" s="3" t="str">
        <f t="shared" si="4"/>
        <v>BANGALURU</v>
      </c>
      <c r="G24" s="1" t="s">
        <v>85</v>
      </c>
      <c r="H24" s="3" t="str">
        <f t="shared" si="5"/>
        <v>HOME &amp; KITCHEN</v>
      </c>
      <c r="I24" s="3" t="str">
        <f t="shared" si="6"/>
        <v>MIXER GRAINDER</v>
      </c>
      <c r="J24" s="3">
        <f t="shared" si="7"/>
        <v>2</v>
      </c>
      <c r="K24" s="3">
        <f t="shared" si="8"/>
        <v>583</v>
      </c>
      <c r="L24" s="4">
        <f t="shared" si="9"/>
        <v>0.2</v>
      </c>
      <c r="M24" s="3">
        <f t="shared" si="10"/>
        <v>932.8</v>
      </c>
      <c r="N24" s="3">
        <f t="shared" si="11"/>
        <v>653</v>
      </c>
      <c r="O24" s="3">
        <f t="shared" si="12"/>
        <v>280</v>
      </c>
      <c r="P24" s="3" t="str">
        <f t="shared" si="13"/>
        <v>COD</v>
      </c>
      <c r="Q24" s="3" t="str">
        <f t="shared" si="14"/>
        <v>CANCELLED</v>
      </c>
    </row>
    <row r="25">
      <c r="A25" s="1" t="s">
        <v>86</v>
      </c>
      <c r="B25" s="2">
        <f t="shared" si="1"/>
        <v>46070</v>
      </c>
      <c r="C25" s="1" t="s">
        <v>87</v>
      </c>
      <c r="D25" s="3" t="str">
        <f t="shared" si="2"/>
        <v>SUJI</v>
      </c>
      <c r="E25" s="3" t="str">
        <f t="shared" si="3"/>
        <v>ANDHRA PRADESH</v>
      </c>
      <c r="F25" s="3" t="str">
        <f t="shared" si="4"/>
        <v>TIRUPATI</v>
      </c>
      <c r="G25" s="1" t="s">
        <v>88</v>
      </c>
      <c r="H25" s="3" t="str">
        <f t="shared" si="5"/>
        <v>BOOKS</v>
      </c>
      <c r="I25" s="3" t="str">
        <f t="shared" si="6"/>
        <v>LIFE OF PI</v>
      </c>
      <c r="J25" s="3">
        <f t="shared" si="7"/>
        <v>1</v>
      </c>
      <c r="K25" s="3">
        <f t="shared" si="8"/>
        <v>315</v>
      </c>
      <c r="L25" s="4">
        <f t="shared" si="9"/>
        <v>0.1</v>
      </c>
      <c r="M25" s="3">
        <f t="shared" si="10"/>
        <v>283.5</v>
      </c>
      <c r="N25" s="3">
        <f t="shared" si="11"/>
        <v>198</v>
      </c>
      <c r="O25" s="3">
        <f t="shared" si="12"/>
        <v>86</v>
      </c>
      <c r="P25" s="3" t="str">
        <f t="shared" si="13"/>
        <v>NET BANKING</v>
      </c>
      <c r="Q25" s="3" t="str">
        <f t="shared" si="14"/>
        <v>RETURNED</v>
      </c>
    </row>
    <row r="26">
      <c r="A26" s="1" t="s">
        <v>89</v>
      </c>
      <c r="B26" s="2">
        <f t="shared" si="1"/>
        <v>46236</v>
      </c>
      <c r="C26" s="1" t="s">
        <v>90</v>
      </c>
      <c r="D26" s="3" t="str">
        <f t="shared" si="2"/>
        <v>RATHA</v>
      </c>
      <c r="E26" s="3" t="str">
        <f t="shared" si="3"/>
        <v>TELUGANA</v>
      </c>
      <c r="F26" s="3" t="str">
        <f t="shared" si="4"/>
        <v>HYDERABAD</v>
      </c>
      <c r="G26" s="1" t="s">
        <v>91</v>
      </c>
      <c r="H26" s="3" t="str">
        <f t="shared" si="5"/>
        <v>ACCESSORIES</v>
      </c>
      <c r="I26" s="3" t="str">
        <f t="shared" si="6"/>
        <v>EARRINGS</v>
      </c>
      <c r="J26" s="3">
        <f t="shared" si="7"/>
        <v>1</v>
      </c>
      <c r="K26" s="3">
        <f t="shared" si="8"/>
        <v>566</v>
      </c>
      <c r="L26" s="4">
        <f t="shared" si="9"/>
        <v>0.1</v>
      </c>
      <c r="M26" s="3">
        <f t="shared" si="10"/>
        <v>509.4</v>
      </c>
      <c r="N26" s="3">
        <f t="shared" si="11"/>
        <v>357</v>
      </c>
      <c r="O26" s="3">
        <f t="shared" si="12"/>
        <v>152</v>
      </c>
      <c r="P26" s="3" t="str">
        <f t="shared" si="13"/>
        <v>WALLET</v>
      </c>
      <c r="Q26" s="3" t="str">
        <f t="shared" si="14"/>
        <v>DELIVERED</v>
      </c>
    </row>
    <row r="27">
      <c r="A27" s="1" t="s">
        <v>92</v>
      </c>
      <c r="B27" s="2">
        <f t="shared" si="1"/>
        <v>46278</v>
      </c>
      <c r="C27" s="1" t="s">
        <v>93</v>
      </c>
      <c r="D27" s="3" t="str">
        <f t="shared" si="2"/>
        <v>SUSA</v>
      </c>
      <c r="E27" s="3" t="str">
        <f t="shared" si="3"/>
        <v>UTTHRA PRADESH</v>
      </c>
      <c r="F27" s="3" t="str">
        <f t="shared" si="4"/>
        <v>LUCKNOW</v>
      </c>
      <c r="G27" s="1" t="s">
        <v>94</v>
      </c>
      <c r="H27" s="3" t="str">
        <f t="shared" si="5"/>
        <v>ELECTRONICS</v>
      </c>
      <c r="I27" s="3" t="str">
        <f t="shared" si="6"/>
        <v>WIRELESS EARBUDS</v>
      </c>
      <c r="J27" s="3">
        <f t="shared" si="7"/>
        <v>3</v>
      </c>
      <c r="K27" s="3">
        <f t="shared" si="8"/>
        <v>329</v>
      </c>
      <c r="L27" s="4">
        <f t="shared" si="9"/>
        <v>0.1</v>
      </c>
      <c r="M27" s="3">
        <f t="shared" si="10"/>
        <v>888.3</v>
      </c>
      <c r="N27" s="3">
        <f t="shared" si="11"/>
        <v>622</v>
      </c>
      <c r="O27" s="3">
        <f t="shared" si="12"/>
        <v>266</v>
      </c>
      <c r="P27" s="3" t="str">
        <f t="shared" si="13"/>
        <v>UPI</v>
      </c>
      <c r="Q27" s="3" t="str">
        <f t="shared" si="14"/>
        <v>SHIPPED</v>
      </c>
    </row>
    <row r="28">
      <c r="A28" s="1" t="s">
        <v>95</v>
      </c>
      <c r="B28" s="2">
        <f t="shared" si="1"/>
        <v>46113</v>
      </c>
      <c r="C28" s="1" t="s">
        <v>96</v>
      </c>
      <c r="D28" s="3" t="str">
        <f t="shared" si="2"/>
        <v>NIVE</v>
      </c>
      <c r="E28" s="3" t="str">
        <f t="shared" si="3"/>
        <v>GUJARAT</v>
      </c>
      <c r="F28" s="3" t="str">
        <f t="shared" si="4"/>
        <v>SURAT</v>
      </c>
      <c r="G28" s="1" t="s">
        <v>97</v>
      </c>
      <c r="H28" s="3" t="str">
        <f t="shared" si="5"/>
        <v>SPORTS</v>
      </c>
      <c r="I28" s="3" t="str">
        <f t="shared" si="6"/>
        <v>FOOTBALL</v>
      </c>
      <c r="J28" s="3">
        <f t="shared" si="7"/>
        <v>3</v>
      </c>
      <c r="K28" s="3">
        <f t="shared" si="8"/>
        <v>300</v>
      </c>
      <c r="L28" s="4">
        <f t="shared" si="9"/>
        <v>0.5</v>
      </c>
      <c r="M28" s="3">
        <f t="shared" si="10"/>
        <v>450</v>
      </c>
      <c r="N28" s="3">
        <f t="shared" si="11"/>
        <v>315</v>
      </c>
      <c r="O28" s="3">
        <f t="shared" si="12"/>
        <v>135</v>
      </c>
      <c r="P28" s="3" t="str">
        <f t="shared" si="13"/>
        <v>CARD</v>
      </c>
      <c r="Q28" s="3" t="str">
        <f t="shared" si="14"/>
        <v>CANCELLED</v>
      </c>
    </row>
    <row r="29">
      <c r="A29" s="1" t="s">
        <v>98</v>
      </c>
      <c r="B29" s="2">
        <f t="shared" si="1"/>
        <v>46208</v>
      </c>
      <c r="C29" s="1" t="s">
        <v>99</v>
      </c>
      <c r="D29" s="3" t="str">
        <f t="shared" si="2"/>
        <v>VINO</v>
      </c>
      <c r="E29" s="3" t="str">
        <f t="shared" si="3"/>
        <v>RAJASTHAN</v>
      </c>
      <c r="F29" s="3" t="str">
        <f t="shared" si="4"/>
        <v>JAIPUR</v>
      </c>
      <c r="G29" s="1" t="s">
        <v>100</v>
      </c>
      <c r="H29" s="3" t="str">
        <f t="shared" si="5"/>
        <v>FOOD</v>
      </c>
      <c r="I29" s="3" t="str">
        <f t="shared" si="6"/>
        <v>BIRIYANI</v>
      </c>
      <c r="J29" s="3">
        <f t="shared" si="7"/>
        <v>5</v>
      </c>
      <c r="K29" s="3">
        <f t="shared" si="8"/>
        <v>491</v>
      </c>
      <c r="L29" s="4">
        <f t="shared" si="9"/>
        <v>0.15</v>
      </c>
      <c r="M29" s="3">
        <f t="shared" si="10"/>
        <v>2086.75</v>
      </c>
      <c r="N29" s="3">
        <f t="shared" si="11"/>
        <v>1461</v>
      </c>
      <c r="O29" s="3">
        <f t="shared" si="12"/>
        <v>626</v>
      </c>
      <c r="P29" s="3" t="str">
        <f t="shared" si="13"/>
        <v>COD</v>
      </c>
      <c r="Q29" s="3" t="str">
        <f t="shared" si="14"/>
        <v>RETURNED</v>
      </c>
    </row>
    <row r="30">
      <c r="A30" s="1" t="s">
        <v>101</v>
      </c>
      <c r="B30" s="2">
        <f t="shared" si="1"/>
        <v>46069</v>
      </c>
      <c r="C30" s="1" t="s">
        <v>102</v>
      </c>
      <c r="D30" s="3" t="str">
        <f t="shared" si="2"/>
        <v>ABI</v>
      </c>
      <c r="E30" s="3" t="str">
        <f t="shared" si="3"/>
        <v>WEST BENGAL</v>
      </c>
      <c r="F30" s="3" t="str">
        <f t="shared" si="4"/>
        <v>KOLKATA</v>
      </c>
      <c r="G30" s="1" t="s">
        <v>103</v>
      </c>
      <c r="H30" s="3" t="str">
        <f t="shared" si="5"/>
        <v>DRESS</v>
      </c>
      <c r="I30" s="3" t="str">
        <f t="shared" si="6"/>
        <v>WOMEN WAERS</v>
      </c>
      <c r="J30" s="3">
        <f t="shared" si="7"/>
        <v>2</v>
      </c>
      <c r="K30" s="3">
        <f t="shared" si="8"/>
        <v>539</v>
      </c>
      <c r="L30" s="4">
        <f t="shared" si="9"/>
        <v>0.1</v>
      </c>
      <c r="M30" s="3">
        <f t="shared" si="10"/>
        <v>970.2</v>
      </c>
      <c r="N30" s="3">
        <f t="shared" si="11"/>
        <v>679</v>
      </c>
      <c r="O30" s="3">
        <f t="shared" si="12"/>
        <v>291</v>
      </c>
      <c r="P30" s="3" t="str">
        <f t="shared" si="13"/>
        <v>NET BANKING</v>
      </c>
      <c r="Q30" s="3" t="str">
        <f t="shared" si="14"/>
        <v>DELIVERED</v>
      </c>
    </row>
    <row r="31">
      <c r="A31" s="1" t="s">
        <v>104</v>
      </c>
      <c r="B31" s="2">
        <f t="shared" si="1"/>
        <v>46105</v>
      </c>
      <c r="C31" s="1" t="s">
        <v>105</v>
      </c>
      <c r="D31" s="3" t="str">
        <f t="shared" si="2"/>
        <v>NIHAAR</v>
      </c>
      <c r="E31" s="3" t="str">
        <f t="shared" si="3"/>
        <v>MAGARASTRA</v>
      </c>
      <c r="F31" s="3" t="str">
        <f t="shared" si="4"/>
        <v>PUNE</v>
      </c>
      <c r="G31" s="1" t="s">
        <v>106</v>
      </c>
      <c r="H31" s="3" t="str">
        <f t="shared" si="5"/>
        <v>BEAUTY</v>
      </c>
      <c r="I31" s="3" t="str">
        <f t="shared" si="6"/>
        <v>KAJAL</v>
      </c>
      <c r="J31" s="3">
        <f t="shared" si="7"/>
        <v>3</v>
      </c>
      <c r="K31" s="3">
        <f t="shared" si="8"/>
        <v>205</v>
      </c>
      <c r="L31" s="4">
        <f t="shared" si="9"/>
        <v>0.17</v>
      </c>
      <c r="M31" s="3">
        <f t="shared" si="10"/>
        <v>510.45</v>
      </c>
      <c r="N31" s="3">
        <f t="shared" si="11"/>
        <v>357</v>
      </c>
      <c r="O31" s="3">
        <f t="shared" si="12"/>
        <v>153</v>
      </c>
      <c r="P31" s="3" t="str">
        <f t="shared" si="13"/>
        <v>WALLET</v>
      </c>
      <c r="Q31" s="3" t="str">
        <f t="shared" si="14"/>
        <v>SHIPPED</v>
      </c>
    </row>
    <row r="32">
      <c r="A32" s="1" t="s">
        <v>107</v>
      </c>
      <c r="B32" s="2">
        <f t="shared" si="1"/>
        <v>46074</v>
      </c>
      <c r="C32" s="1" t="s">
        <v>108</v>
      </c>
      <c r="D32" s="3" t="str">
        <f t="shared" si="2"/>
        <v>SRI</v>
      </c>
      <c r="E32" s="3" t="str">
        <f t="shared" si="3"/>
        <v>TAMILNADU</v>
      </c>
      <c r="F32" s="3" t="str">
        <f t="shared" si="4"/>
        <v>THOOTHUKUDI</v>
      </c>
      <c r="G32" s="1" t="s">
        <v>109</v>
      </c>
      <c r="H32" s="3" t="str">
        <f t="shared" si="5"/>
        <v>HOME &amp; KITCHEN</v>
      </c>
      <c r="I32" s="3" t="str">
        <f t="shared" si="6"/>
        <v>MIXER GRAINDER</v>
      </c>
      <c r="J32" s="3">
        <f t="shared" si="7"/>
        <v>2</v>
      </c>
      <c r="K32" s="3">
        <f t="shared" si="8"/>
        <v>573</v>
      </c>
      <c r="L32" s="4">
        <f t="shared" si="9"/>
        <v>0.1</v>
      </c>
      <c r="M32" s="3">
        <f t="shared" si="10"/>
        <v>1031.4</v>
      </c>
      <c r="N32" s="3">
        <f t="shared" si="11"/>
        <v>722</v>
      </c>
      <c r="O32" s="3">
        <f t="shared" si="12"/>
        <v>309</v>
      </c>
      <c r="P32" s="3" t="str">
        <f t="shared" si="13"/>
        <v>UPI</v>
      </c>
      <c r="Q32" s="3" t="str">
        <f t="shared" si="14"/>
        <v>CANCELLED</v>
      </c>
    </row>
    <row r="33">
      <c r="A33" s="1" t="s">
        <v>110</v>
      </c>
      <c r="B33" s="2">
        <f t="shared" si="1"/>
        <v>46199</v>
      </c>
      <c r="C33" s="1" t="s">
        <v>111</v>
      </c>
      <c r="D33" s="3" t="str">
        <f t="shared" si="2"/>
        <v>SHOBN</v>
      </c>
      <c r="E33" s="3" t="str">
        <f t="shared" si="3"/>
        <v>KERALA</v>
      </c>
      <c r="F33" s="3" t="str">
        <f t="shared" si="4"/>
        <v>KOCHI</v>
      </c>
      <c r="G33" s="1" t="s">
        <v>112</v>
      </c>
      <c r="H33" s="3" t="str">
        <f t="shared" si="5"/>
        <v>BOOKS</v>
      </c>
      <c r="I33" s="3" t="str">
        <f t="shared" si="6"/>
        <v>LIFE OF PI</v>
      </c>
      <c r="J33" s="3">
        <f t="shared" si="7"/>
        <v>5</v>
      </c>
      <c r="K33" s="3">
        <f t="shared" si="8"/>
        <v>190</v>
      </c>
      <c r="L33" s="4">
        <f t="shared" si="9"/>
        <v>0</v>
      </c>
      <c r="M33" s="3">
        <f t="shared" si="10"/>
        <v>950</v>
      </c>
      <c r="N33" s="3">
        <f t="shared" si="11"/>
        <v>665</v>
      </c>
      <c r="O33" s="3">
        <f t="shared" si="12"/>
        <v>285</v>
      </c>
      <c r="P33" s="3" t="str">
        <f t="shared" si="13"/>
        <v>CARD</v>
      </c>
      <c r="Q33" s="3" t="str">
        <f t="shared" si="14"/>
        <v>RETURNED</v>
      </c>
    </row>
    <row r="34">
      <c r="A34" s="1" t="s">
        <v>113</v>
      </c>
      <c r="B34" s="2">
        <f t="shared" si="1"/>
        <v>46089</v>
      </c>
      <c r="C34" s="1" t="s">
        <v>114</v>
      </c>
      <c r="D34" s="3" t="str">
        <f t="shared" si="2"/>
        <v>SOBI</v>
      </c>
      <c r="E34" s="3" t="str">
        <f t="shared" si="3"/>
        <v>KARNATAKA</v>
      </c>
      <c r="F34" s="3" t="str">
        <f t="shared" si="4"/>
        <v>BANGALURU</v>
      </c>
      <c r="G34" s="1" t="s">
        <v>115</v>
      </c>
      <c r="H34" s="3" t="str">
        <f t="shared" si="5"/>
        <v>ACCESSORIES</v>
      </c>
      <c r="I34" s="3" t="str">
        <f t="shared" si="6"/>
        <v>EARRINGS</v>
      </c>
      <c r="J34" s="3">
        <f t="shared" si="7"/>
        <v>5</v>
      </c>
      <c r="K34" s="3">
        <f t="shared" si="8"/>
        <v>147</v>
      </c>
      <c r="L34" s="4">
        <f t="shared" si="9"/>
        <v>0</v>
      </c>
      <c r="M34" s="3">
        <f t="shared" si="10"/>
        <v>735</v>
      </c>
      <c r="N34" s="3">
        <f t="shared" si="11"/>
        <v>515</v>
      </c>
      <c r="O34" s="3">
        <f t="shared" si="12"/>
        <v>220</v>
      </c>
      <c r="P34" s="3" t="str">
        <f t="shared" si="13"/>
        <v>COD</v>
      </c>
      <c r="Q34" s="3" t="str">
        <f t="shared" si="14"/>
        <v>DELIVERED</v>
      </c>
    </row>
    <row r="35">
      <c r="A35" s="1" t="s">
        <v>116</v>
      </c>
      <c r="B35" s="2">
        <f t="shared" si="1"/>
        <v>46147</v>
      </c>
      <c r="C35" s="1" t="s">
        <v>117</v>
      </c>
      <c r="D35" s="3" t="str">
        <f t="shared" si="2"/>
        <v>SUJI</v>
      </c>
      <c r="E35" s="3" t="str">
        <f t="shared" si="3"/>
        <v>ANDHRA PRADESH</v>
      </c>
      <c r="F35" s="3" t="str">
        <f t="shared" si="4"/>
        <v>TIRUPATI</v>
      </c>
      <c r="G35" s="1" t="s">
        <v>118</v>
      </c>
      <c r="H35" s="3" t="str">
        <f t="shared" si="5"/>
        <v>ELECTRONICS</v>
      </c>
      <c r="I35" s="3" t="str">
        <f t="shared" si="6"/>
        <v>WIRELESS EARBUDS</v>
      </c>
      <c r="J35" s="3">
        <f t="shared" si="7"/>
        <v>5</v>
      </c>
      <c r="K35" s="3">
        <f t="shared" si="8"/>
        <v>152</v>
      </c>
      <c r="L35" s="4">
        <f t="shared" si="9"/>
        <v>0.5</v>
      </c>
      <c r="M35" s="3">
        <f t="shared" si="10"/>
        <v>380</v>
      </c>
      <c r="N35" s="3">
        <f t="shared" si="11"/>
        <v>266</v>
      </c>
      <c r="O35" s="3">
        <f t="shared" si="12"/>
        <v>114</v>
      </c>
      <c r="P35" s="3" t="str">
        <f t="shared" si="13"/>
        <v>NET BANKING</v>
      </c>
      <c r="Q35" s="3" t="str">
        <f t="shared" si="14"/>
        <v>SHIPPED</v>
      </c>
    </row>
    <row r="36">
      <c r="A36" s="1" t="s">
        <v>119</v>
      </c>
      <c r="B36" s="2">
        <f t="shared" si="1"/>
        <v>46337</v>
      </c>
      <c r="C36" s="1" t="s">
        <v>120</v>
      </c>
      <c r="D36" s="3" t="str">
        <f t="shared" si="2"/>
        <v>RATHA</v>
      </c>
      <c r="E36" s="3" t="str">
        <f t="shared" si="3"/>
        <v>TELUGANA</v>
      </c>
      <c r="F36" s="3" t="str">
        <f t="shared" si="4"/>
        <v>HYDERABAD</v>
      </c>
      <c r="G36" s="1" t="s">
        <v>121</v>
      </c>
      <c r="H36" s="3" t="str">
        <f t="shared" si="5"/>
        <v>SPORTS</v>
      </c>
      <c r="I36" s="3" t="str">
        <f t="shared" si="6"/>
        <v>FOOTBALL</v>
      </c>
      <c r="J36" s="3">
        <f t="shared" si="7"/>
        <v>2</v>
      </c>
      <c r="K36" s="3">
        <f t="shared" si="8"/>
        <v>461</v>
      </c>
      <c r="L36" s="4">
        <f t="shared" si="9"/>
        <v>0.1</v>
      </c>
      <c r="M36" s="3">
        <f t="shared" si="10"/>
        <v>829.8</v>
      </c>
      <c r="N36" s="3">
        <f t="shared" si="11"/>
        <v>581</v>
      </c>
      <c r="O36" s="3">
        <f t="shared" si="12"/>
        <v>249</v>
      </c>
      <c r="P36" s="3" t="str">
        <f t="shared" si="13"/>
        <v>WALLET</v>
      </c>
      <c r="Q36" s="3" t="str">
        <f t="shared" si="14"/>
        <v>CANCELLED</v>
      </c>
    </row>
    <row r="37">
      <c r="A37" s="1" t="s">
        <v>122</v>
      </c>
      <c r="B37" s="2">
        <f t="shared" si="1"/>
        <v>46319</v>
      </c>
      <c r="C37" s="1" t="s">
        <v>123</v>
      </c>
      <c r="D37" s="3" t="str">
        <f t="shared" si="2"/>
        <v>SUSA</v>
      </c>
      <c r="E37" s="3" t="str">
        <f t="shared" si="3"/>
        <v>UTTHRA PRADESH</v>
      </c>
      <c r="F37" s="3" t="str">
        <f t="shared" si="4"/>
        <v>LUCKNOW</v>
      </c>
      <c r="G37" s="1" t="s">
        <v>124</v>
      </c>
      <c r="H37" s="3" t="str">
        <f t="shared" si="5"/>
        <v>FOOD</v>
      </c>
      <c r="I37" s="3" t="str">
        <f t="shared" si="6"/>
        <v>BIRIYANI</v>
      </c>
      <c r="J37" s="3">
        <f t="shared" si="7"/>
        <v>3</v>
      </c>
      <c r="K37" s="3">
        <f t="shared" si="8"/>
        <v>242</v>
      </c>
      <c r="L37" s="4">
        <f t="shared" si="9"/>
        <v>0.2</v>
      </c>
      <c r="M37" s="3">
        <f t="shared" si="10"/>
        <v>580.8</v>
      </c>
      <c r="N37" s="3">
        <f t="shared" si="11"/>
        <v>407</v>
      </c>
      <c r="O37" s="3">
        <f t="shared" si="12"/>
        <v>174</v>
      </c>
      <c r="P37" s="3" t="str">
        <f t="shared" si="13"/>
        <v>UPI</v>
      </c>
      <c r="Q37" s="3" t="str">
        <f t="shared" si="14"/>
        <v>RETURNED</v>
      </c>
    </row>
    <row r="38">
      <c r="A38" s="1" t="s">
        <v>125</v>
      </c>
      <c r="B38" s="2">
        <f t="shared" si="1"/>
        <v>46300</v>
      </c>
      <c r="C38" s="1" t="s">
        <v>126</v>
      </c>
      <c r="D38" s="3" t="str">
        <f t="shared" si="2"/>
        <v>NIVE</v>
      </c>
      <c r="E38" s="3" t="str">
        <f t="shared" si="3"/>
        <v>GUJARAT</v>
      </c>
      <c r="F38" s="3" t="str">
        <f t="shared" si="4"/>
        <v>SURAT</v>
      </c>
      <c r="G38" s="1" t="s">
        <v>127</v>
      </c>
      <c r="H38" s="3" t="str">
        <f t="shared" si="5"/>
        <v>DRESS</v>
      </c>
      <c r="I38" s="3" t="str">
        <f t="shared" si="6"/>
        <v>WOMEN WAERS</v>
      </c>
      <c r="J38" s="3">
        <f t="shared" si="7"/>
        <v>3</v>
      </c>
      <c r="K38" s="3">
        <f t="shared" si="8"/>
        <v>361</v>
      </c>
      <c r="L38" s="4">
        <f t="shared" si="9"/>
        <v>0.5</v>
      </c>
      <c r="M38" s="3">
        <f t="shared" si="10"/>
        <v>541.5</v>
      </c>
      <c r="N38" s="3">
        <f t="shared" si="11"/>
        <v>379</v>
      </c>
      <c r="O38" s="3">
        <f t="shared" si="12"/>
        <v>163</v>
      </c>
      <c r="P38" s="3" t="str">
        <f t="shared" si="13"/>
        <v>CARD</v>
      </c>
      <c r="Q38" s="3" t="str">
        <f t="shared" si="14"/>
        <v>DELIVERED</v>
      </c>
    </row>
    <row r="39">
      <c r="A39" s="1" t="s">
        <v>128</v>
      </c>
      <c r="B39" s="2">
        <f t="shared" si="1"/>
        <v>46045</v>
      </c>
      <c r="C39" s="1" t="s">
        <v>129</v>
      </c>
      <c r="D39" s="3" t="str">
        <f t="shared" si="2"/>
        <v>VINO</v>
      </c>
      <c r="E39" s="3" t="str">
        <f t="shared" si="3"/>
        <v>RAJASTHAN</v>
      </c>
      <c r="F39" s="3" t="str">
        <f t="shared" si="4"/>
        <v>JAIPUR</v>
      </c>
      <c r="G39" s="1" t="s">
        <v>130</v>
      </c>
      <c r="H39" s="3" t="str">
        <f t="shared" si="5"/>
        <v>BEAUTY</v>
      </c>
      <c r="I39" s="3" t="str">
        <f t="shared" si="6"/>
        <v>KAJAL</v>
      </c>
      <c r="J39" s="3">
        <f t="shared" si="7"/>
        <v>2</v>
      </c>
      <c r="K39" s="3">
        <f t="shared" si="8"/>
        <v>155</v>
      </c>
      <c r="L39" s="4">
        <f t="shared" si="9"/>
        <v>0.2</v>
      </c>
      <c r="M39" s="3">
        <f t="shared" si="10"/>
        <v>248</v>
      </c>
      <c r="N39" s="3">
        <f t="shared" si="11"/>
        <v>174</v>
      </c>
      <c r="O39" s="3">
        <f t="shared" si="12"/>
        <v>74</v>
      </c>
      <c r="P39" s="3" t="str">
        <f t="shared" si="13"/>
        <v>COD</v>
      </c>
      <c r="Q39" s="3" t="str">
        <f t="shared" si="14"/>
        <v>SHIPPED</v>
      </c>
    </row>
    <row r="40">
      <c r="A40" s="1" t="s">
        <v>131</v>
      </c>
      <c r="B40" s="2">
        <f t="shared" si="1"/>
        <v>46135</v>
      </c>
      <c r="C40" s="1" t="s">
        <v>132</v>
      </c>
      <c r="D40" s="3" t="str">
        <f t="shared" si="2"/>
        <v>ABI</v>
      </c>
      <c r="E40" s="3" t="str">
        <f t="shared" si="3"/>
        <v>WEST BENGAL</v>
      </c>
      <c r="F40" s="3" t="str">
        <f t="shared" si="4"/>
        <v>KOLKATA</v>
      </c>
      <c r="G40" s="1" t="s">
        <v>133</v>
      </c>
      <c r="H40" s="3" t="str">
        <f t="shared" si="5"/>
        <v>HOME &amp; KITCHEN</v>
      </c>
      <c r="I40" s="3" t="str">
        <f t="shared" si="6"/>
        <v>MIXER GRAINDER</v>
      </c>
      <c r="J40" s="3">
        <f t="shared" si="7"/>
        <v>1</v>
      </c>
      <c r="K40" s="3">
        <f t="shared" si="8"/>
        <v>598</v>
      </c>
      <c r="L40" s="4">
        <f t="shared" si="9"/>
        <v>0.5</v>
      </c>
      <c r="M40" s="3">
        <f t="shared" si="10"/>
        <v>299</v>
      </c>
      <c r="N40" s="3">
        <f t="shared" si="11"/>
        <v>209</v>
      </c>
      <c r="O40" s="3">
        <f t="shared" si="12"/>
        <v>90</v>
      </c>
      <c r="P40" s="3" t="str">
        <f t="shared" si="13"/>
        <v>NET BANKING</v>
      </c>
      <c r="Q40" s="3" t="str">
        <f t="shared" si="14"/>
        <v>CANCELLED</v>
      </c>
    </row>
    <row r="41">
      <c r="A41" s="1" t="s">
        <v>134</v>
      </c>
      <c r="B41" s="2">
        <f t="shared" si="1"/>
        <v>46038</v>
      </c>
      <c r="C41" s="1" t="s">
        <v>135</v>
      </c>
      <c r="D41" s="3" t="str">
        <f t="shared" si="2"/>
        <v>NIHAAR</v>
      </c>
      <c r="E41" s="3" t="str">
        <f t="shared" si="3"/>
        <v>MAGARASTRA</v>
      </c>
      <c r="F41" s="3" t="str">
        <f t="shared" si="4"/>
        <v>PUNE</v>
      </c>
      <c r="G41" s="1" t="s">
        <v>136</v>
      </c>
      <c r="H41" s="3" t="str">
        <f t="shared" si="5"/>
        <v>BOOKS</v>
      </c>
      <c r="I41" s="3" t="str">
        <f t="shared" si="6"/>
        <v>LIFE OF PI</v>
      </c>
      <c r="J41" s="3">
        <f t="shared" si="7"/>
        <v>1</v>
      </c>
      <c r="K41" s="3">
        <f t="shared" si="8"/>
        <v>123</v>
      </c>
      <c r="L41" s="4">
        <f t="shared" si="9"/>
        <v>0.2</v>
      </c>
      <c r="M41" s="3">
        <f t="shared" si="10"/>
        <v>98.4</v>
      </c>
      <c r="N41" s="3">
        <f t="shared" si="11"/>
        <v>69</v>
      </c>
      <c r="O41" s="3">
        <f t="shared" si="12"/>
        <v>29</v>
      </c>
      <c r="P41" s="3" t="str">
        <f t="shared" si="13"/>
        <v>WALLET</v>
      </c>
      <c r="Q41" s="3" t="str">
        <f t="shared" si="14"/>
        <v>RETURNED</v>
      </c>
    </row>
    <row r="42">
      <c r="A42" s="1" t="s">
        <v>137</v>
      </c>
      <c r="B42" s="2">
        <f t="shared" si="1"/>
        <v>46132</v>
      </c>
      <c r="C42" s="1" t="s">
        <v>138</v>
      </c>
      <c r="D42" s="3" t="str">
        <f t="shared" si="2"/>
        <v>SRI</v>
      </c>
      <c r="E42" s="3" t="str">
        <f t="shared" si="3"/>
        <v>TAMILNADU</v>
      </c>
      <c r="F42" s="3" t="str">
        <f t="shared" si="4"/>
        <v>THOOTHUKUDI</v>
      </c>
      <c r="G42" s="1" t="s">
        <v>139</v>
      </c>
      <c r="H42" s="3" t="str">
        <f t="shared" si="5"/>
        <v>ACCESSORIES</v>
      </c>
      <c r="I42" s="3" t="str">
        <f t="shared" si="6"/>
        <v>EARRINGS</v>
      </c>
      <c r="J42" s="3">
        <f t="shared" si="7"/>
        <v>1</v>
      </c>
      <c r="K42" s="3">
        <f t="shared" si="8"/>
        <v>294</v>
      </c>
      <c r="L42" s="4">
        <f t="shared" si="9"/>
        <v>0.2</v>
      </c>
      <c r="M42" s="3">
        <f t="shared" si="10"/>
        <v>235.2</v>
      </c>
      <c r="N42" s="3">
        <f t="shared" si="11"/>
        <v>165</v>
      </c>
      <c r="O42" s="3">
        <f t="shared" si="12"/>
        <v>70</v>
      </c>
      <c r="P42" s="3" t="str">
        <f t="shared" si="13"/>
        <v>UPI</v>
      </c>
      <c r="Q42" s="3" t="str">
        <f t="shared" si="14"/>
        <v>DELIVERED</v>
      </c>
    </row>
    <row r="43">
      <c r="A43" s="1" t="s">
        <v>140</v>
      </c>
      <c r="B43" s="2">
        <f t="shared" si="1"/>
        <v>46376</v>
      </c>
      <c r="C43" s="1" t="s">
        <v>141</v>
      </c>
      <c r="D43" s="3" t="str">
        <f t="shared" si="2"/>
        <v>SHOBN</v>
      </c>
      <c r="E43" s="3" t="str">
        <f t="shared" si="3"/>
        <v>KERALA</v>
      </c>
      <c r="F43" s="3" t="str">
        <f t="shared" si="4"/>
        <v>KOCHI</v>
      </c>
      <c r="G43" s="1" t="s">
        <v>142</v>
      </c>
      <c r="H43" s="3" t="str">
        <f t="shared" si="5"/>
        <v>ELECTRONICS</v>
      </c>
      <c r="I43" s="3" t="str">
        <f t="shared" si="6"/>
        <v>WIRELESS EARBUDS</v>
      </c>
      <c r="J43" s="3">
        <f t="shared" si="7"/>
        <v>3</v>
      </c>
      <c r="K43" s="3">
        <f t="shared" si="8"/>
        <v>133</v>
      </c>
      <c r="L43" s="4">
        <f t="shared" si="9"/>
        <v>0.1</v>
      </c>
      <c r="M43" s="3">
        <f t="shared" si="10"/>
        <v>359.1</v>
      </c>
      <c r="N43" s="3">
        <f t="shared" si="11"/>
        <v>251</v>
      </c>
      <c r="O43" s="3">
        <f t="shared" si="12"/>
        <v>108</v>
      </c>
      <c r="P43" s="3" t="str">
        <f t="shared" si="13"/>
        <v>CARD</v>
      </c>
      <c r="Q43" s="3" t="str">
        <f t="shared" si="14"/>
        <v>SHIPPED</v>
      </c>
    </row>
    <row r="44">
      <c r="A44" s="1" t="s">
        <v>143</v>
      </c>
      <c r="B44" s="2">
        <f t="shared" si="1"/>
        <v>46034</v>
      </c>
      <c r="C44" s="1" t="s">
        <v>144</v>
      </c>
      <c r="D44" s="3" t="str">
        <f t="shared" si="2"/>
        <v>SOBI</v>
      </c>
      <c r="E44" s="3" t="str">
        <f t="shared" si="3"/>
        <v>KARNATAKA</v>
      </c>
      <c r="F44" s="3" t="str">
        <f t="shared" si="4"/>
        <v>BANGALURU</v>
      </c>
      <c r="G44" s="1" t="s">
        <v>145</v>
      </c>
      <c r="H44" s="3" t="str">
        <f t="shared" si="5"/>
        <v>SPORTS</v>
      </c>
      <c r="I44" s="3" t="str">
        <f t="shared" si="6"/>
        <v>FOOTBALL</v>
      </c>
      <c r="J44" s="3">
        <f t="shared" si="7"/>
        <v>2</v>
      </c>
      <c r="K44" s="3">
        <f t="shared" si="8"/>
        <v>313</v>
      </c>
      <c r="L44" s="4">
        <f t="shared" si="9"/>
        <v>0.17</v>
      </c>
      <c r="M44" s="3">
        <f t="shared" si="10"/>
        <v>519.58</v>
      </c>
      <c r="N44" s="3">
        <f t="shared" si="11"/>
        <v>364</v>
      </c>
      <c r="O44" s="3">
        <f t="shared" si="12"/>
        <v>156</v>
      </c>
      <c r="P44" s="3" t="str">
        <f t="shared" si="13"/>
        <v>COD</v>
      </c>
      <c r="Q44" s="3" t="str">
        <f t="shared" si="14"/>
        <v>CANCELLED</v>
      </c>
    </row>
    <row r="45">
      <c r="A45" s="1" t="s">
        <v>146</v>
      </c>
      <c r="B45" s="2">
        <f t="shared" si="1"/>
        <v>46298</v>
      </c>
      <c r="C45" s="1" t="s">
        <v>147</v>
      </c>
      <c r="D45" s="3" t="str">
        <f t="shared" si="2"/>
        <v>SUJI</v>
      </c>
      <c r="E45" s="3" t="str">
        <f t="shared" si="3"/>
        <v>ANDHRA PRADESH</v>
      </c>
      <c r="F45" s="3" t="str">
        <f t="shared" si="4"/>
        <v>TIRUPATI</v>
      </c>
      <c r="G45" s="1" t="s">
        <v>148</v>
      </c>
      <c r="H45" s="3" t="str">
        <f t="shared" si="5"/>
        <v>FOOD</v>
      </c>
      <c r="I45" s="3" t="str">
        <f t="shared" si="6"/>
        <v>BIRIYANI</v>
      </c>
      <c r="J45" s="3">
        <f t="shared" si="7"/>
        <v>5</v>
      </c>
      <c r="K45" s="3">
        <f t="shared" si="8"/>
        <v>462</v>
      </c>
      <c r="L45" s="4">
        <f t="shared" si="9"/>
        <v>0.17</v>
      </c>
      <c r="M45" s="3">
        <f t="shared" si="10"/>
        <v>1917.3</v>
      </c>
      <c r="N45" s="3">
        <f t="shared" si="11"/>
        <v>1342</v>
      </c>
      <c r="O45" s="3">
        <f t="shared" si="12"/>
        <v>575</v>
      </c>
      <c r="P45" s="3" t="str">
        <f t="shared" si="13"/>
        <v>NET BANKING</v>
      </c>
      <c r="Q45" s="3" t="str">
        <f t="shared" si="14"/>
        <v>RETURNED</v>
      </c>
    </row>
    <row r="46">
      <c r="A46" s="1" t="s">
        <v>149</v>
      </c>
      <c r="B46" s="2">
        <f t="shared" si="1"/>
        <v>46297</v>
      </c>
      <c r="C46" s="1" t="s">
        <v>150</v>
      </c>
      <c r="D46" s="3" t="str">
        <f t="shared" si="2"/>
        <v>RATHA</v>
      </c>
      <c r="E46" s="3" t="str">
        <f t="shared" si="3"/>
        <v>TELUGANA</v>
      </c>
      <c r="F46" s="3" t="str">
        <f t="shared" si="4"/>
        <v>HYDERABAD</v>
      </c>
      <c r="G46" s="1" t="s">
        <v>151</v>
      </c>
      <c r="H46" s="3" t="str">
        <f t="shared" si="5"/>
        <v>DRESS</v>
      </c>
      <c r="I46" s="3" t="str">
        <f t="shared" si="6"/>
        <v>WOMEN WAERS</v>
      </c>
      <c r="J46" s="3">
        <f t="shared" si="7"/>
        <v>4</v>
      </c>
      <c r="K46" s="3">
        <f t="shared" si="8"/>
        <v>484</v>
      </c>
      <c r="L46" s="4">
        <f t="shared" si="9"/>
        <v>0.1</v>
      </c>
      <c r="M46" s="3">
        <f t="shared" si="10"/>
        <v>1742.4</v>
      </c>
      <c r="N46" s="3">
        <f t="shared" si="11"/>
        <v>1220</v>
      </c>
      <c r="O46" s="3">
        <f t="shared" si="12"/>
        <v>522</v>
      </c>
      <c r="P46" s="3" t="str">
        <f t="shared" si="13"/>
        <v>WALLET</v>
      </c>
      <c r="Q46" s="3" t="str">
        <f t="shared" si="14"/>
        <v>DELIVERED</v>
      </c>
    </row>
    <row r="47">
      <c r="A47" s="1" t="s">
        <v>152</v>
      </c>
      <c r="B47" s="2">
        <f t="shared" si="1"/>
        <v>46124</v>
      </c>
      <c r="C47" s="1" t="s">
        <v>153</v>
      </c>
      <c r="D47" s="3" t="str">
        <f t="shared" si="2"/>
        <v>SUSA</v>
      </c>
      <c r="E47" s="3" t="str">
        <f t="shared" si="3"/>
        <v>UTTHRA PRADESH</v>
      </c>
      <c r="F47" s="3" t="str">
        <f t="shared" si="4"/>
        <v>LUCKNOW</v>
      </c>
      <c r="G47" s="1" t="s">
        <v>154</v>
      </c>
      <c r="H47" s="3" t="str">
        <f t="shared" si="5"/>
        <v>BEAUTY</v>
      </c>
      <c r="I47" s="3" t="str">
        <f t="shared" si="6"/>
        <v>KAJAL</v>
      </c>
      <c r="J47" s="3">
        <f t="shared" si="7"/>
        <v>3</v>
      </c>
      <c r="K47" s="3">
        <f t="shared" si="8"/>
        <v>196</v>
      </c>
      <c r="L47" s="4">
        <f t="shared" si="9"/>
        <v>0</v>
      </c>
      <c r="M47" s="3">
        <f t="shared" si="10"/>
        <v>588</v>
      </c>
      <c r="N47" s="3">
        <f t="shared" si="11"/>
        <v>412</v>
      </c>
      <c r="O47" s="3">
        <f t="shared" si="12"/>
        <v>176</v>
      </c>
      <c r="P47" s="3" t="str">
        <f t="shared" si="13"/>
        <v>UPI</v>
      </c>
      <c r="Q47" s="3" t="str">
        <f t="shared" si="14"/>
        <v>SHIPPED</v>
      </c>
    </row>
    <row r="48">
      <c r="A48" s="1" t="s">
        <v>155</v>
      </c>
      <c r="B48" s="2">
        <f t="shared" si="1"/>
        <v>46377</v>
      </c>
      <c r="C48" s="1" t="s">
        <v>156</v>
      </c>
      <c r="D48" s="3" t="str">
        <f t="shared" si="2"/>
        <v>NIVE</v>
      </c>
      <c r="E48" s="3" t="str">
        <f t="shared" si="3"/>
        <v>GUJARAT</v>
      </c>
      <c r="F48" s="3" t="str">
        <f t="shared" si="4"/>
        <v>SURAT</v>
      </c>
      <c r="G48" s="1" t="s">
        <v>157</v>
      </c>
      <c r="H48" s="3" t="str">
        <f t="shared" si="5"/>
        <v>HOME &amp; KITCHEN</v>
      </c>
      <c r="I48" s="3" t="str">
        <f t="shared" si="6"/>
        <v>MIXER GRAINDER</v>
      </c>
      <c r="J48" s="3">
        <f t="shared" si="7"/>
        <v>1</v>
      </c>
      <c r="K48" s="3">
        <f t="shared" si="8"/>
        <v>383</v>
      </c>
      <c r="L48" s="4">
        <f t="shared" si="9"/>
        <v>0</v>
      </c>
      <c r="M48" s="3">
        <f t="shared" si="10"/>
        <v>383</v>
      </c>
      <c r="N48" s="3">
        <f t="shared" si="11"/>
        <v>268</v>
      </c>
      <c r="O48" s="3">
        <f t="shared" si="12"/>
        <v>115</v>
      </c>
      <c r="P48" s="3" t="str">
        <f t="shared" si="13"/>
        <v>CARD</v>
      </c>
      <c r="Q48" s="3" t="str">
        <f t="shared" si="14"/>
        <v>CANCELLED</v>
      </c>
    </row>
    <row r="49">
      <c r="A49" s="1" t="s">
        <v>158</v>
      </c>
      <c r="B49" s="2">
        <f t="shared" si="1"/>
        <v>46337</v>
      </c>
      <c r="C49" s="1" t="s">
        <v>159</v>
      </c>
      <c r="D49" s="3" t="str">
        <f t="shared" si="2"/>
        <v>VINO</v>
      </c>
      <c r="E49" s="3" t="str">
        <f t="shared" si="3"/>
        <v>RAJASTHAN</v>
      </c>
      <c r="F49" s="3" t="str">
        <f t="shared" si="4"/>
        <v>JAIPUR</v>
      </c>
      <c r="G49" s="1" t="s">
        <v>160</v>
      </c>
      <c r="H49" s="3" t="str">
        <f t="shared" si="5"/>
        <v>BOOKS</v>
      </c>
      <c r="I49" s="3" t="str">
        <f t="shared" si="6"/>
        <v>LIFE OF PI</v>
      </c>
      <c r="J49" s="3">
        <f t="shared" si="7"/>
        <v>3</v>
      </c>
      <c r="K49" s="3">
        <f t="shared" si="8"/>
        <v>180</v>
      </c>
      <c r="L49" s="4">
        <f t="shared" si="9"/>
        <v>0.15</v>
      </c>
      <c r="M49" s="3">
        <f t="shared" si="10"/>
        <v>459</v>
      </c>
      <c r="N49" s="3">
        <f t="shared" si="11"/>
        <v>321</v>
      </c>
      <c r="O49" s="3">
        <f t="shared" si="12"/>
        <v>138</v>
      </c>
      <c r="P49" s="3" t="str">
        <f t="shared" si="13"/>
        <v>COD</v>
      </c>
      <c r="Q49" s="3" t="str">
        <f t="shared" si="14"/>
        <v>RETURNED</v>
      </c>
    </row>
    <row r="50">
      <c r="A50" s="1" t="s">
        <v>162</v>
      </c>
      <c r="B50" s="2">
        <f t="shared" si="1"/>
        <v>46062</v>
      </c>
      <c r="C50" s="1" t="s">
        <v>163</v>
      </c>
      <c r="D50" s="3" t="str">
        <f t="shared" si="2"/>
        <v>ABI</v>
      </c>
      <c r="E50" s="3" t="str">
        <f t="shared" si="3"/>
        <v>WEST BENGAL</v>
      </c>
      <c r="F50" s="3" t="str">
        <f t="shared" si="4"/>
        <v>KOLKATA</v>
      </c>
      <c r="G50" s="1" t="s">
        <v>166</v>
      </c>
      <c r="H50" s="3" t="str">
        <f t="shared" si="5"/>
        <v>ACCESSORIES</v>
      </c>
      <c r="I50" s="3" t="str">
        <f t="shared" si="6"/>
        <v>EARRINGS</v>
      </c>
      <c r="J50" s="3">
        <f t="shared" si="7"/>
        <v>4</v>
      </c>
      <c r="K50" s="3">
        <f t="shared" si="8"/>
        <v>104</v>
      </c>
      <c r="L50" s="4">
        <f t="shared" si="9"/>
        <v>0</v>
      </c>
      <c r="M50" s="3">
        <f t="shared" si="10"/>
        <v>416</v>
      </c>
      <c r="N50" s="3">
        <f t="shared" si="11"/>
        <v>291</v>
      </c>
      <c r="O50" s="3">
        <f t="shared" si="12"/>
        <v>125</v>
      </c>
      <c r="P50" s="3" t="str">
        <f t="shared" si="13"/>
        <v>NET BANKING</v>
      </c>
      <c r="Q50" s="3" t="str">
        <f t="shared" si="14"/>
        <v>DELIVERED</v>
      </c>
    </row>
    <row r="51">
      <c r="A51" s="1" t="s">
        <v>167</v>
      </c>
      <c r="B51" s="2">
        <f t="shared" si="1"/>
        <v>46094</v>
      </c>
      <c r="C51" s="1" t="s">
        <v>168</v>
      </c>
      <c r="D51" s="3" t="str">
        <f t="shared" si="2"/>
        <v>NIHAAR</v>
      </c>
      <c r="E51" s="3" t="str">
        <f t="shared" si="3"/>
        <v>MAGARASTRA</v>
      </c>
      <c r="F51" s="3" t="str">
        <f t="shared" si="4"/>
        <v>PUNE</v>
      </c>
      <c r="G51" s="1" t="s">
        <v>169</v>
      </c>
      <c r="H51" s="3" t="str">
        <f t="shared" si="5"/>
        <v>ELECTRONICS</v>
      </c>
      <c r="I51" s="3" t="str">
        <f t="shared" si="6"/>
        <v>WIRELESS EARBUDS</v>
      </c>
      <c r="J51" s="3">
        <f t="shared" si="7"/>
        <v>2</v>
      </c>
      <c r="K51" s="3">
        <f t="shared" si="8"/>
        <v>332</v>
      </c>
      <c r="L51" s="4">
        <f t="shared" si="9"/>
        <v>0.2</v>
      </c>
      <c r="M51" s="3">
        <f t="shared" si="10"/>
        <v>531.2</v>
      </c>
      <c r="N51" s="3">
        <f t="shared" si="11"/>
        <v>372</v>
      </c>
      <c r="O51" s="3">
        <f t="shared" si="12"/>
        <v>159</v>
      </c>
      <c r="P51" s="3" t="str">
        <f t="shared" si="13"/>
        <v>WALLET</v>
      </c>
      <c r="Q51" s="3" t="str">
        <f t="shared" si="14"/>
        <v>SHIPPED</v>
      </c>
    </row>
    <row r="52">
      <c r="A52" s="1" t="s">
        <v>170</v>
      </c>
      <c r="B52" s="2">
        <f t="shared" si="1"/>
        <v>46150</v>
      </c>
      <c r="C52" s="1" t="s">
        <v>171</v>
      </c>
      <c r="D52" s="3" t="str">
        <f t="shared" si="2"/>
        <v>SRI</v>
      </c>
      <c r="E52" s="3" t="str">
        <f t="shared" si="3"/>
        <v>TAMILNADU</v>
      </c>
      <c r="F52" s="3" t="str">
        <f t="shared" si="4"/>
        <v>THOOTHUKUDI</v>
      </c>
      <c r="G52" s="1" t="s">
        <v>172</v>
      </c>
      <c r="H52" s="3" t="str">
        <f t="shared" si="5"/>
        <v>SPORTS</v>
      </c>
      <c r="I52" s="3" t="str">
        <f t="shared" si="6"/>
        <v>FOOTBALL</v>
      </c>
      <c r="J52" s="3">
        <f t="shared" si="7"/>
        <v>1</v>
      </c>
      <c r="K52" s="3">
        <f t="shared" si="8"/>
        <v>364</v>
      </c>
      <c r="L52" s="4">
        <f t="shared" si="9"/>
        <v>0</v>
      </c>
      <c r="M52" s="3">
        <f t="shared" si="10"/>
        <v>364</v>
      </c>
      <c r="N52" s="3">
        <f t="shared" si="11"/>
        <v>255</v>
      </c>
      <c r="O52" s="3">
        <f t="shared" si="12"/>
        <v>109</v>
      </c>
      <c r="P52" s="3" t="str">
        <f t="shared" si="13"/>
        <v>UPI</v>
      </c>
      <c r="Q52" s="3" t="str">
        <f t="shared" si="14"/>
        <v>CANCELLED</v>
      </c>
    </row>
    <row r="53">
      <c r="A53" s="1" t="s">
        <v>173</v>
      </c>
      <c r="B53" s="2">
        <f t="shared" si="1"/>
        <v>46300</v>
      </c>
      <c r="C53" s="1" t="s">
        <v>174</v>
      </c>
      <c r="D53" s="3" t="str">
        <f t="shared" si="2"/>
        <v>SHOBN</v>
      </c>
      <c r="E53" s="3" t="str">
        <f t="shared" si="3"/>
        <v>KERALA</v>
      </c>
      <c r="F53" s="3" t="str">
        <f t="shared" si="4"/>
        <v>KOCHI</v>
      </c>
      <c r="G53" s="1" t="s">
        <v>175</v>
      </c>
      <c r="H53" s="3" t="str">
        <f t="shared" si="5"/>
        <v>FOOD</v>
      </c>
      <c r="I53" s="3" t="str">
        <f t="shared" si="6"/>
        <v>BIRIYANI</v>
      </c>
      <c r="J53" s="3">
        <f t="shared" si="7"/>
        <v>3</v>
      </c>
      <c r="K53" s="3">
        <f t="shared" si="8"/>
        <v>261</v>
      </c>
      <c r="L53" s="4">
        <f t="shared" si="9"/>
        <v>0.2</v>
      </c>
      <c r="M53" s="3">
        <f t="shared" si="10"/>
        <v>626.4</v>
      </c>
      <c r="N53" s="3">
        <f t="shared" si="11"/>
        <v>438</v>
      </c>
      <c r="O53" s="3">
        <f t="shared" si="12"/>
        <v>188</v>
      </c>
      <c r="P53" s="3" t="str">
        <f t="shared" si="13"/>
        <v>CARD</v>
      </c>
      <c r="Q53" s="3" t="str">
        <f t="shared" si="14"/>
        <v>RETURNED</v>
      </c>
    </row>
    <row r="54">
      <c r="A54" s="1" t="s">
        <v>176</v>
      </c>
      <c r="B54" s="2">
        <f t="shared" si="1"/>
        <v>46156</v>
      </c>
      <c r="C54" s="1" t="s">
        <v>177</v>
      </c>
      <c r="D54" s="3" t="str">
        <f t="shared" si="2"/>
        <v>SOBI</v>
      </c>
      <c r="E54" s="3" t="str">
        <f t="shared" si="3"/>
        <v>KARNATAKA</v>
      </c>
      <c r="F54" s="3" t="str">
        <f t="shared" si="4"/>
        <v>BANGALURU</v>
      </c>
      <c r="G54" s="1" t="s">
        <v>178</v>
      </c>
      <c r="H54" s="3" t="str">
        <f t="shared" si="5"/>
        <v>DRESS</v>
      </c>
      <c r="I54" s="3" t="str">
        <f t="shared" si="6"/>
        <v>WOMEN WAERS</v>
      </c>
      <c r="J54" s="3">
        <f t="shared" si="7"/>
        <v>3</v>
      </c>
      <c r="K54" s="3">
        <f t="shared" si="8"/>
        <v>531</v>
      </c>
      <c r="L54" s="4">
        <f t="shared" si="9"/>
        <v>0.2</v>
      </c>
      <c r="M54" s="3">
        <f t="shared" si="10"/>
        <v>1274.4</v>
      </c>
      <c r="N54" s="3">
        <f t="shared" si="11"/>
        <v>892</v>
      </c>
      <c r="O54" s="3">
        <f t="shared" si="12"/>
        <v>382</v>
      </c>
      <c r="P54" s="3" t="str">
        <f t="shared" si="13"/>
        <v>COD</v>
      </c>
      <c r="Q54" s="3" t="str">
        <f t="shared" si="14"/>
        <v>DELIVERED</v>
      </c>
    </row>
    <row r="55">
      <c r="A55" s="1" t="s">
        <v>179</v>
      </c>
      <c r="B55" s="2">
        <f t="shared" si="1"/>
        <v>46257</v>
      </c>
      <c r="C55" s="1" t="s">
        <v>180</v>
      </c>
      <c r="D55" s="3" t="str">
        <f t="shared" si="2"/>
        <v>SUJI</v>
      </c>
      <c r="E55" s="3" t="str">
        <f t="shared" si="3"/>
        <v>ANDHRA PRADESH</v>
      </c>
      <c r="F55" s="3" t="str">
        <f t="shared" si="4"/>
        <v>TIRUPATI</v>
      </c>
      <c r="G55" s="1" t="s">
        <v>181</v>
      </c>
      <c r="H55" s="3" t="str">
        <f t="shared" si="5"/>
        <v>BEAUTY</v>
      </c>
      <c r="I55" s="3" t="str">
        <f t="shared" si="6"/>
        <v>KAJAL</v>
      </c>
      <c r="J55" s="3">
        <f t="shared" si="7"/>
        <v>5</v>
      </c>
      <c r="K55" s="3">
        <f t="shared" si="8"/>
        <v>546</v>
      </c>
      <c r="L55" s="4">
        <f t="shared" si="9"/>
        <v>0.5</v>
      </c>
      <c r="M55" s="3">
        <f t="shared" si="10"/>
        <v>1365</v>
      </c>
      <c r="N55" s="3">
        <f t="shared" si="11"/>
        <v>956</v>
      </c>
      <c r="O55" s="3">
        <f t="shared" si="12"/>
        <v>409</v>
      </c>
      <c r="P55" s="3" t="str">
        <f t="shared" si="13"/>
        <v>NET BANKING</v>
      </c>
      <c r="Q55" s="3" t="str">
        <f t="shared" si="14"/>
        <v>SHIPPED</v>
      </c>
    </row>
    <row r="56">
      <c r="A56" s="1" t="s">
        <v>182</v>
      </c>
      <c r="B56" s="2">
        <f t="shared" si="1"/>
        <v>46057</v>
      </c>
      <c r="C56" s="1" t="s">
        <v>183</v>
      </c>
      <c r="D56" s="3" t="str">
        <f t="shared" si="2"/>
        <v>RATHA</v>
      </c>
      <c r="E56" s="3" t="str">
        <f t="shared" si="3"/>
        <v>TELUGANA</v>
      </c>
      <c r="F56" s="3" t="str">
        <f t="shared" si="4"/>
        <v>HYDERABAD</v>
      </c>
      <c r="G56" s="1" t="s">
        <v>184</v>
      </c>
      <c r="H56" s="3" t="str">
        <f t="shared" si="5"/>
        <v>HOME &amp; KITCHEN</v>
      </c>
      <c r="I56" s="3" t="str">
        <f t="shared" si="6"/>
        <v>MIXER GRAINDER</v>
      </c>
      <c r="J56" s="3">
        <f t="shared" si="7"/>
        <v>5</v>
      </c>
      <c r="K56" s="3">
        <f t="shared" si="8"/>
        <v>389</v>
      </c>
      <c r="L56" s="4">
        <f t="shared" si="9"/>
        <v>0.5</v>
      </c>
      <c r="M56" s="3">
        <f t="shared" si="10"/>
        <v>972.5</v>
      </c>
      <c r="N56" s="3">
        <f t="shared" si="11"/>
        <v>681</v>
      </c>
      <c r="O56" s="3">
        <f t="shared" si="12"/>
        <v>292</v>
      </c>
      <c r="P56" s="3" t="str">
        <f t="shared" si="13"/>
        <v>WALLET</v>
      </c>
      <c r="Q56" s="3" t="str">
        <f t="shared" si="14"/>
        <v>CANCELLED</v>
      </c>
    </row>
    <row r="57">
      <c r="A57" s="1" t="s">
        <v>185</v>
      </c>
      <c r="B57" s="2">
        <f t="shared" si="1"/>
        <v>46191</v>
      </c>
      <c r="C57" s="1" t="s">
        <v>186</v>
      </c>
      <c r="D57" s="3" t="str">
        <f t="shared" si="2"/>
        <v>SUSA</v>
      </c>
      <c r="E57" s="3" t="str">
        <f t="shared" si="3"/>
        <v>UTTHRA PRADESH</v>
      </c>
      <c r="F57" s="3" t="str">
        <f t="shared" si="4"/>
        <v>LUCKNOW</v>
      </c>
      <c r="G57" s="1" t="s">
        <v>187</v>
      </c>
      <c r="H57" s="3" t="str">
        <f t="shared" si="5"/>
        <v>BOOKS</v>
      </c>
      <c r="I57" s="3" t="str">
        <f t="shared" si="6"/>
        <v>LIFE OF PI</v>
      </c>
      <c r="J57" s="3">
        <f t="shared" si="7"/>
        <v>1</v>
      </c>
      <c r="K57" s="3">
        <f t="shared" si="8"/>
        <v>458</v>
      </c>
      <c r="L57" s="4">
        <f t="shared" si="9"/>
        <v>0</v>
      </c>
      <c r="M57" s="3">
        <f t="shared" si="10"/>
        <v>458</v>
      </c>
      <c r="N57" s="3">
        <f t="shared" si="11"/>
        <v>321</v>
      </c>
      <c r="O57" s="3">
        <f t="shared" si="12"/>
        <v>137</v>
      </c>
      <c r="P57" s="3" t="str">
        <f t="shared" si="13"/>
        <v>UPI</v>
      </c>
      <c r="Q57" s="3" t="str">
        <f t="shared" si="14"/>
        <v>RETURNED</v>
      </c>
    </row>
    <row r="58">
      <c r="A58" s="1" t="s">
        <v>188</v>
      </c>
      <c r="B58" s="2">
        <f t="shared" si="1"/>
        <v>46111</v>
      </c>
      <c r="C58" s="1" t="s">
        <v>189</v>
      </c>
      <c r="D58" s="3" t="str">
        <f t="shared" si="2"/>
        <v>NIVE</v>
      </c>
      <c r="E58" s="3" t="str">
        <f t="shared" si="3"/>
        <v>GUJARAT</v>
      </c>
      <c r="F58" s="3" t="str">
        <f t="shared" si="4"/>
        <v>SURAT</v>
      </c>
      <c r="G58" s="1" t="s">
        <v>190</v>
      </c>
      <c r="H58" s="3" t="str">
        <f t="shared" si="5"/>
        <v>ACCESSORIES</v>
      </c>
      <c r="I58" s="3" t="str">
        <f t="shared" si="6"/>
        <v>EARRINGS</v>
      </c>
      <c r="J58" s="3">
        <f t="shared" si="7"/>
        <v>4</v>
      </c>
      <c r="K58" s="3">
        <f t="shared" si="8"/>
        <v>196</v>
      </c>
      <c r="L58" s="4">
        <f t="shared" si="9"/>
        <v>0.5</v>
      </c>
      <c r="M58" s="3">
        <f t="shared" si="10"/>
        <v>392</v>
      </c>
      <c r="N58" s="3">
        <f t="shared" si="11"/>
        <v>274</v>
      </c>
      <c r="O58" s="3">
        <f t="shared" si="12"/>
        <v>118</v>
      </c>
      <c r="P58" s="3" t="str">
        <f t="shared" si="13"/>
        <v>CARD</v>
      </c>
      <c r="Q58" s="3" t="str">
        <f t="shared" si="14"/>
        <v>DELIVERED</v>
      </c>
    </row>
    <row r="59">
      <c r="A59" s="1" t="s">
        <v>191</v>
      </c>
      <c r="B59" s="2">
        <f t="shared" si="1"/>
        <v>46088</v>
      </c>
      <c r="C59" s="1" t="s">
        <v>192</v>
      </c>
      <c r="D59" s="3" t="str">
        <f t="shared" si="2"/>
        <v>VINO</v>
      </c>
      <c r="E59" s="3" t="str">
        <f t="shared" si="3"/>
        <v>RAJASTHAN</v>
      </c>
      <c r="F59" s="3" t="str">
        <f t="shared" si="4"/>
        <v>JAIPUR</v>
      </c>
      <c r="G59" s="1" t="s">
        <v>193</v>
      </c>
      <c r="H59" s="3" t="str">
        <f t="shared" si="5"/>
        <v>ELECTRONICS</v>
      </c>
      <c r="I59" s="3" t="str">
        <f t="shared" si="6"/>
        <v>WIRELESS EARBUDS</v>
      </c>
      <c r="J59" s="3">
        <f t="shared" si="7"/>
        <v>3</v>
      </c>
      <c r="K59" s="3">
        <f t="shared" si="8"/>
        <v>394</v>
      </c>
      <c r="L59" s="4">
        <f t="shared" si="9"/>
        <v>0.2</v>
      </c>
      <c r="M59" s="3">
        <f t="shared" si="10"/>
        <v>945.6</v>
      </c>
      <c r="N59" s="3">
        <f t="shared" si="11"/>
        <v>662</v>
      </c>
      <c r="O59" s="3">
        <f t="shared" si="12"/>
        <v>284</v>
      </c>
      <c r="P59" s="3" t="str">
        <f t="shared" si="13"/>
        <v>COD</v>
      </c>
      <c r="Q59" s="3" t="str">
        <f t="shared" si="14"/>
        <v>SHIPPED</v>
      </c>
    </row>
    <row r="60">
      <c r="A60" s="1" t="s">
        <v>194</v>
      </c>
      <c r="B60" s="2">
        <f t="shared" si="1"/>
        <v>46261</v>
      </c>
      <c r="C60" s="1" t="s">
        <v>195</v>
      </c>
      <c r="D60" s="3" t="str">
        <f t="shared" si="2"/>
        <v>ABI</v>
      </c>
      <c r="E60" s="3" t="str">
        <f t="shared" si="3"/>
        <v>WEST BENGAL</v>
      </c>
      <c r="F60" s="3" t="str">
        <f t="shared" si="4"/>
        <v>KOLKATA</v>
      </c>
      <c r="G60" s="1" t="s">
        <v>196</v>
      </c>
      <c r="H60" s="3" t="str">
        <f t="shared" si="5"/>
        <v>SPORTS</v>
      </c>
      <c r="I60" s="3" t="str">
        <f t="shared" si="6"/>
        <v>FOOTBALL</v>
      </c>
      <c r="J60" s="3">
        <f t="shared" si="7"/>
        <v>2</v>
      </c>
      <c r="K60" s="3">
        <f t="shared" si="8"/>
        <v>270</v>
      </c>
      <c r="L60" s="4">
        <f t="shared" si="9"/>
        <v>0</v>
      </c>
      <c r="M60" s="3">
        <f t="shared" si="10"/>
        <v>540</v>
      </c>
      <c r="N60" s="3">
        <f t="shared" si="11"/>
        <v>378</v>
      </c>
      <c r="O60" s="3">
        <f t="shared" si="12"/>
        <v>162</v>
      </c>
      <c r="P60" s="3" t="str">
        <f t="shared" si="13"/>
        <v>NET BANKING</v>
      </c>
      <c r="Q60" s="3" t="str">
        <f t="shared" si="14"/>
        <v>CANCELLED</v>
      </c>
    </row>
    <row r="61">
      <c r="A61" s="1" t="s">
        <v>197</v>
      </c>
      <c r="B61" s="2">
        <f t="shared" si="1"/>
        <v>46378</v>
      </c>
      <c r="C61" s="1" t="s">
        <v>198</v>
      </c>
      <c r="D61" s="3" t="str">
        <f t="shared" si="2"/>
        <v>NIHAAR</v>
      </c>
      <c r="E61" s="3" t="str">
        <f t="shared" si="3"/>
        <v>MAGARASTRA</v>
      </c>
      <c r="F61" s="3" t="str">
        <f t="shared" si="4"/>
        <v>PUNE</v>
      </c>
      <c r="G61" s="1" t="s">
        <v>199</v>
      </c>
      <c r="H61" s="3" t="str">
        <f t="shared" si="5"/>
        <v>FOOD</v>
      </c>
      <c r="I61" s="3" t="str">
        <f t="shared" si="6"/>
        <v>BIRIYANI</v>
      </c>
      <c r="J61" s="3">
        <f t="shared" si="7"/>
        <v>4</v>
      </c>
      <c r="K61" s="3">
        <f t="shared" si="8"/>
        <v>399</v>
      </c>
      <c r="L61" s="4">
        <f t="shared" si="9"/>
        <v>0.2</v>
      </c>
      <c r="M61" s="3">
        <f t="shared" si="10"/>
        <v>1276.8</v>
      </c>
      <c r="N61" s="3">
        <f t="shared" si="11"/>
        <v>894</v>
      </c>
      <c r="O61" s="3">
        <f t="shared" si="12"/>
        <v>383</v>
      </c>
      <c r="P61" s="3" t="str">
        <f t="shared" si="13"/>
        <v>WALLET</v>
      </c>
      <c r="Q61" s="3" t="str">
        <f t="shared" si="14"/>
        <v>RETURNED</v>
      </c>
    </row>
    <row r="62">
      <c r="A62" s="1" t="s">
        <v>200</v>
      </c>
      <c r="B62" s="2">
        <f t="shared" si="1"/>
        <v>46278</v>
      </c>
      <c r="C62" s="1" t="s">
        <v>201</v>
      </c>
      <c r="D62" s="3" t="str">
        <f t="shared" si="2"/>
        <v>SRI</v>
      </c>
      <c r="E62" s="3" t="str">
        <f t="shared" si="3"/>
        <v>TAMILNADU</v>
      </c>
      <c r="F62" s="3" t="str">
        <f t="shared" si="4"/>
        <v>THOOTHUKUDI</v>
      </c>
      <c r="G62" s="1" t="s">
        <v>202</v>
      </c>
      <c r="H62" s="3" t="str">
        <f t="shared" si="5"/>
        <v>DRESS</v>
      </c>
      <c r="I62" s="3" t="str">
        <f t="shared" si="6"/>
        <v>WOMEN WAERS</v>
      </c>
      <c r="J62" s="3">
        <f t="shared" si="7"/>
        <v>2</v>
      </c>
      <c r="K62" s="3">
        <f t="shared" si="8"/>
        <v>305</v>
      </c>
      <c r="L62" s="4">
        <f t="shared" si="9"/>
        <v>0.2</v>
      </c>
      <c r="M62" s="3">
        <f t="shared" si="10"/>
        <v>488</v>
      </c>
      <c r="N62" s="3">
        <f t="shared" si="11"/>
        <v>342</v>
      </c>
      <c r="O62" s="3">
        <f t="shared" si="12"/>
        <v>146</v>
      </c>
      <c r="P62" s="3" t="str">
        <f t="shared" si="13"/>
        <v>UPI</v>
      </c>
      <c r="Q62" s="3" t="str">
        <f t="shared" si="14"/>
        <v>DELIVERED</v>
      </c>
    </row>
    <row r="63">
      <c r="A63" s="1" t="s">
        <v>203</v>
      </c>
      <c r="B63" s="2">
        <f t="shared" si="1"/>
        <v>46380</v>
      </c>
      <c r="C63" s="1" t="s">
        <v>204</v>
      </c>
      <c r="D63" s="3" t="str">
        <f t="shared" si="2"/>
        <v>SHOBN</v>
      </c>
      <c r="E63" s="3" t="str">
        <f t="shared" si="3"/>
        <v>KERALA</v>
      </c>
      <c r="F63" s="3" t="str">
        <f t="shared" si="4"/>
        <v>KOCHI</v>
      </c>
      <c r="G63" s="1" t="s">
        <v>205</v>
      </c>
      <c r="H63" s="3" t="str">
        <f t="shared" si="5"/>
        <v>BEAUTY</v>
      </c>
      <c r="I63" s="3" t="str">
        <f t="shared" si="6"/>
        <v>KAJAL</v>
      </c>
      <c r="J63" s="3">
        <f t="shared" si="7"/>
        <v>4</v>
      </c>
      <c r="K63" s="3">
        <f t="shared" si="8"/>
        <v>325</v>
      </c>
      <c r="L63" s="4">
        <f t="shared" si="9"/>
        <v>0.2</v>
      </c>
      <c r="M63" s="3">
        <f t="shared" si="10"/>
        <v>1040</v>
      </c>
      <c r="N63" s="3">
        <f t="shared" si="11"/>
        <v>728</v>
      </c>
      <c r="O63" s="3">
        <f t="shared" si="12"/>
        <v>312</v>
      </c>
      <c r="P63" s="3" t="str">
        <f t="shared" si="13"/>
        <v>CARD</v>
      </c>
      <c r="Q63" s="3" t="str">
        <f t="shared" si="14"/>
        <v>SHIPPED</v>
      </c>
    </row>
    <row r="64">
      <c r="A64" s="1" t="s">
        <v>206</v>
      </c>
      <c r="B64" s="2">
        <f t="shared" si="1"/>
        <v>46112</v>
      </c>
      <c r="C64" s="1" t="s">
        <v>207</v>
      </c>
      <c r="D64" s="3" t="str">
        <f t="shared" si="2"/>
        <v>SOBI</v>
      </c>
      <c r="E64" s="3" t="str">
        <f t="shared" si="3"/>
        <v>KARNATAKA</v>
      </c>
      <c r="F64" s="3" t="str">
        <f t="shared" si="4"/>
        <v>BANGALURU</v>
      </c>
      <c r="G64" s="1" t="s">
        <v>208</v>
      </c>
      <c r="H64" s="3" t="str">
        <f t="shared" si="5"/>
        <v>HOME &amp; KITCHEN</v>
      </c>
      <c r="I64" s="3" t="str">
        <f t="shared" si="6"/>
        <v>MIXER GRAINDER</v>
      </c>
      <c r="J64" s="3">
        <f t="shared" si="7"/>
        <v>3</v>
      </c>
      <c r="K64" s="3">
        <f t="shared" si="8"/>
        <v>415</v>
      </c>
      <c r="L64" s="4">
        <f t="shared" si="9"/>
        <v>0.15</v>
      </c>
      <c r="M64" s="3">
        <f t="shared" si="10"/>
        <v>1058.25</v>
      </c>
      <c r="N64" s="3">
        <f t="shared" si="11"/>
        <v>741</v>
      </c>
      <c r="O64" s="3">
        <f t="shared" si="12"/>
        <v>317</v>
      </c>
      <c r="P64" s="3" t="str">
        <f t="shared" si="13"/>
        <v>COD</v>
      </c>
      <c r="Q64" s="3" t="str">
        <f t="shared" si="14"/>
        <v>CANCELLED</v>
      </c>
    </row>
    <row r="65">
      <c r="A65" s="1" t="s">
        <v>209</v>
      </c>
      <c r="B65" s="2">
        <f t="shared" si="1"/>
        <v>46233</v>
      </c>
      <c r="C65" s="1" t="s">
        <v>210</v>
      </c>
      <c r="D65" s="3" t="str">
        <f t="shared" si="2"/>
        <v>SUJI</v>
      </c>
      <c r="E65" s="3" t="str">
        <f t="shared" si="3"/>
        <v>ANDHRA PRADESH</v>
      </c>
      <c r="F65" s="3" t="str">
        <f t="shared" si="4"/>
        <v>TIRUPATI</v>
      </c>
      <c r="G65" s="1" t="s">
        <v>211</v>
      </c>
      <c r="H65" s="3" t="str">
        <f t="shared" si="5"/>
        <v>BOOKS</v>
      </c>
      <c r="I65" s="3" t="str">
        <f t="shared" si="6"/>
        <v>LIFE OF PI</v>
      </c>
      <c r="J65" s="3">
        <f t="shared" si="7"/>
        <v>4</v>
      </c>
      <c r="K65" s="3">
        <f t="shared" si="8"/>
        <v>429</v>
      </c>
      <c r="L65" s="4">
        <f t="shared" si="9"/>
        <v>0.1</v>
      </c>
      <c r="M65" s="3">
        <f t="shared" si="10"/>
        <v>1544.4</v>
      </c>
      <c r="N65" s="3">
        <f t="shared" si="11"/>
        <v>1081</v>
      </c>
      <c r="O65" s="3">
        <f t="shared" si="12"/>
        <v>463</v>
      </c>
      <c r="P65" s="3" t="str">
        <f t="shared" si="13"/>
        <v>NET BANKING</v>
      </c>
      <c r="Q65" s="3" t="str">
        <f t="shared" si="14"/>
        <v>RETURNED</v>
      </c>
    </row>
    <row r="66">
      <c r="A66" s="1" t="s">
        <v>212</v>
      </c>
      <c r="B66" s="2">
        <f t="shared" si="1"/>
        <v>46114</v>
      </c>
      <c r="C66" s="1" t="s">
        <v>213</v>
      </c>
      <c r="D66" s="3" t="str">
        <f t="shared" si="2"/>
        <v>RATHA</v>
      </c>
      <c r="E66" s="3" t="str">
        <f t="shared" si="3"/>
        <v>TELUGANA</v>
      </c>
      <c r="F66" s="3" t="str">
        <f t="shared" si="4"/>
        <v>HYDERABAD</v>
      </c>
      <c r="G66" s="1" t="s">
        <v>214</v>
      </c>
      <c r="H66" s="3" t="str">
        <f t="shared" si="5"/>
        <v>ACCESSORIES</v>
      </c>
      <c r="I66" s="3" t="str">
        <f t="shared" si="6"/>
        <v>EARRINGS</v>
      </c>
      <c r="J66" s="3">
        <f t="shared" si="7"/>
        <v>3</v>
      </c>
      <c r="K66" s="3">
        <f t="shared" si="8"/>
        <v>266</v>
      </c>
      <c r="L66" s="4">
        <f t="shared" si="9"/>
        <v>0.1</v>
      </c>
      <c r="M66" s="3">
        <f t="shared" si="10"/>
        <v>718.2</v>
      </c>
      <c r="N66" s="3">
        <f t="shared" si="11"/>
        <v>503</v>
      </c>
      <c r="O66" s="3">
        <f t="shared" si="12"/>
        <v>215</v>
      </c>
      <c r="P66" s="3" t="str">
        <f t="shared" si="13"/>
        <v>WALLET</v>
      </c>
      <c r="Q66" s="3" t="str">
        <f t="shared" si="14"/>
        <v>DELIVERED</v>
      </c>
    </row>
    <row r="67">
      <c r="A67" s="1" t="s">
        <v>215</v>
      </c>
      <c r="B67" s="2">
        <f t="shared" si="1"/>
        <v>46185</v>
      </c>
      <c r="C67" s="1" t="s">
        <v>216</v>
      </c>
      <c r="D67" s="3" t="str">
        <f t="shared" si="2"/>
        <v>SUSA</v>
      </c>
      <c r="E67" s="3" t="str">
        <f t="shared" si="3"/>
        <v>UTTHRA PRADESH</v>
      </c>
      <c r="F67" s="3" t="str">
        <f t="shared" si="4"/>
        <v>LUCKNOW</v>
      </c>
      <c r="G67" s="1" t="s">
        <v>217</v>
      </c>
      <c r="H67" s="3" t="str">
        <f t="shared" si="5"/>
        <v>ELECTRONICS</v>
      </c>
      <c r="I67" s="3" t="str">
        <f t="shared" si="6"/>
        <v>WIRELESS EARBUDS</v>
      </c>
      <c r="J67" s="3">
        <f t="shared" si="7"/>
        <v>3</v>
      </c>
      <c r="K67" s="3">
        <f t="shared" si="8"/>
        <v>145</v>
      </c>
      <c r="L67" s="4">
        <f t="shared" si="9"/>
        <v>0.2</v>
      </c>
      <c r="M67" s="3">
        <f t="shared" si="10"/>
        <v>348</v>
      </c>
      <c r="N67" s="3">
        <f t="shared" si="11"/>
        <v>244</v>
      </c>
      <c r="O67" s="3">
        <f t="shared" si="12"/>
        <v>104</v>
      </c>
      <c r="P67" s="3" t="str">
        <f t="shared" si="13"/>
        <v>UPI</v>
      </c>
      <c r="Q67" s="3" t="str">
        <f t="shared" si="14"/>
        <v>SHIPPED</v>
      </c>
    </row>
    <row r="68">
      <c r="A68" s="1" t="s">
        <v>218</v>
      </c>
      <c r="B68" s="2">
        <f t="shared" si="1"/>
        <v>46215</v>
      </c>
      <c r="C68" s="1" t="s">
        <v>219</v>
      </c>
      <c r="D68" s="3" t="str">
        <f t="shared" si="2"/>
        <v>NIVE</v>
      </c>
      <c r="E68" s="3" t="str">
        <f t="shared" si="3"/>
        <v>GUJARAT</v>
      </c>
      <c r="F68" s="3" t="str">
        <f t="shared" si="4"/>
        <v>SURAT</v>
      </c>
      <c r="G68" s="1" t="s">
        <v>220</v>
      </c>
      <c r="H68" s="3" t="str">
        <f t="shared" si="5"/>
        <v>SPORTS</v>
      </c>
      <c r="I68" s="3" t="str">
        <f t="shared" si="6"/>
        <v>FOOTBALL</v>
      </c>
      <c r="J68" s="3">
        <f t="shared" si="7"/>
        <v>2</v>
      </c>
      <c r="K68" s="3">
        <f t="shared" si="8"/>
        <v>362</v>
      </c>
      <c r="L68" s="4">
        <f t="shared" si="9"/>
        <v>0.5</v>
      </c>
      <c r="M68" s="3">
        <f t="shared" si="10"/>
        <v>362</v>
      </c>
      <c r="N68" s="3">
        <f t="shared" si="11"/>
        <v>253</v>
      </c>
      <c r="O68" s="3">
        <f t="shared" si="12"/>
        <v>109</v>
      </c>
      <c r="P68" s="3" t="str">
        <f t="shared" si="13"/>
        <v>CARD</v>
      </c>
      <c r="Q68" s="3" t="str">
        <f t="shared" si="14"/>
        <v>CANCELLED</v>
      </c>
    </row>
    <row r="69">
      <c r="A69" s="1" t="s">
        <v>221</v>
      </c>
      <c r="B69" s="2">
        <f t="shared" si="1"/>
        <v>46363</v>
      </c>
      <c r="C69" s="1" t="s">
        <v>222</v>
      </c>
      <c r="D69" s="3" t="str">
        <f t="shared" si="2"/>
        <v>VINO</v>
      </c>
      <c r="E69" s="3" t="str">
        <f t="shared" si="3"/>
        <v>RAJASTHAN</v>
      </c>
      <c r="F69" s="3" t="str">
        <f t="shared" si="4"/>
        <v>JAIPUR</v>
      </c>
      <c r="G69" s="1" t="s">
        <v>223</v>
      </c>
      <c r="H69" s="3" t="str">
        <f t="shared" si="5"/>
        <v>FOOD</v>
      </c>
      <c r="I69" s="3" t="str">
        <f t="shared" si="6"/>
        <v>BIRIYANI</v>
      </c>
      <c r="J69" s="3">
        <f t="shared" si="7"/>
        <v>3</v>
      </c>
      <c r="K69" s="3">
        <f t="shared" si="8"/>
        <v>172</v>
      </c>
      <c r="L69" s="4">
        <f t="shared" si="9"/>
        <v>0.5</v>
      </c>
      <c r="M69" s="3">
        <f t="shared" si="10"/>
        <v>258</v>
      </c>
      <c r="N69" s="3">
        <f t="shared" si="11"/>
        <v>181</v>
      </c>
      <c r="O69" s="3">
        <f t="shared" si="12"/>
        <v>77</v>
      </c>
      <c r="P69" s="3" t="str">
        <f t="shared" si="13"/>
        <v>COD</v>
      </c>
      <c r="Q69" s="3" t="str">
        <f t="shared" si="14"/>
        <v>RETURNED</v>
      </c>
    </row>
    <row r="70">
      <c r="A70" s="1" t="s">
        <v>224</v>
      </c>
      <c r="B70" s="2">
        <f t="shared" si="1"/>
        <v>46113</v>
      </c>
      <c r="C70" s="1" t="s">
        <v>225</v>
      </c>
      <c r="D70" s="3" t="str">
        <f t="shared" si="2"/>
        <v>ABI</v>
      </c>
      <c r="E70" s="3" t="str">
        <f t="shared" si="3"/>
        <v>WEST BENGAL</v>
      </c>
      <c r="F70" s="3" t="str">
        <f t="shared" si="4"/>
        <v>KOLKATA</v>
      </c>
      <c r="G70" s="1" t="s">
        <v>226</v>
      </c>
      <c r="H70" s="3" t="str">
        <f t="shared" si="5"/>
        <v>DRESS</v>
      </c>
      <c r="I70" s="3" t="str">
        <f t="shared" si="6"/>
        <v>WOMEN WAERS</v>
      </c>
      <c r="J70" s="3">
        <f t="shared" si="7"/>
        <v>5</v>
      </c>
      <c r="K70" s="3">
        <f t="shared" si="8"/>
        <v>105</v>
      </c>
      <c r="L70" s="4">
        <f t="shared" si="9"/>
        <v>0.1</v>
      </c>
      <c r="M70" s="3">
        <f t="shared" si="10"/>
        <v>472.5</v>
      </c>
      <c r="N70" s="3">
        <f t="shared" si="11"/>
        <v>331</v>
      </c>
      <c r="O70" s="3">
        <f t="shared" si="12"/>
        <v>142</v>
      </c>
      <c r="P70" s="3" t="str">
        <f t="shared" si="13"/>
        <v>NET BANKING</v>
      </c>
      <c r="Q70" s="3" t="str">
        <f t="shared" si="14"/>
        <v>DELIVERED</v>
      </c>
    </row>
    <row r="71">
      <c r="A71" s="1" t="s">
        <v>227</v>
      </c>
      <c r="B71" s="2">
        <f t="shared" si="1"/>
        <v>46132</v>
      </c>
      <c r="C71" s="1" t="s">
        <v>228</v>
      </c>
      <c r="D71" s="3" t="str">
        <f t="shared" si="2"/>
        <v>NIHAAR</v>
      </c>
      <c r="E71" s="3" t="str">
        <f t="shared" si="3"/>
        <v>MAGARASTRA</v>
      </c>
      <c r="F71" s="3" t="str">
        <f t="shared" si="4"/>
        <v>PUNE</v>
      </c>
      <c r="G71" s="1" t="s">
        <v>229</v>
      </c>
      <c r="H71" s="3" t="str">
        <f t="shared" si="5"/>
        <v>BEAUTY</v>
      </c>
      <c r="I71" s="3" t="str">
        <f t="shared" si="6"/>
        <v>KAJAL</v>
      </c>
      <c r="J71" s="3">
        <f t="shared" si="7"/>
        <v>2</v>
      </c>
      <c r="K71" s="3">
        <f t="shared" si="8"/>
        <v>460</v>
      </c>
      <c r="L71" s="4">
        <f t="shared" si="9"/>
        <v>0.2</v>
      </c>
      <c r="M71" s="3">
        <f t="shared" si="10"/>
        <v>736</v>
      </c>
      <c r="N71" s="3">
        <f t="shared" si="11"/>
        <v>515</v>
      </c>
      <c r="O71" s="3">
        <f t="shared" si="12"/>
        <v>221</v>
      </c>
      <c r="P71" s="3" t="str">
        <f t="shared" si="13"/>
        <v>WALLET</v>
      </c>
      <c r="Q71" s="3" t="str">
        <f t="shared" si="14"/>
        <v>SHIPPED</v>
      </c>
    </row>
    <row r="72">
      <c r="A72" s="1" t="s">
        <v>230</v>
      </c>
      <c r="B72" s="2">
        <f t="shared" si="1"/>
        <v>46192</v>
      </c>
      <c r="C72" s="1" t="s">
        <v>231</v>
      </c>
      <c r="D72" s="3" t="str">
        <f t="shared" si="2"/>
        <v>SRI</v>
      </c>
      <c r="E72" s="3" t="str">
        <f t="shared" si="3"/>
        <v>TAMILNADU</v>
      </c>
      <c r="F72" s="3" t="str">
        <f t="shared" si="4"/>
        <v>THOOTHUKUDI</v>
      </c>
      <c r="G72" s="1" t="s">
        <v>232</v>
      </c>
      <c r="H72" s="3" t="str">
        <f t="shared" si="5"/>
        <v>HOME &amp; KITCHEN</v>
      </c>
      <c r="I72" s="3" t="str">
        <f t="shared" si="6"/>
        <v>MIXER GRAINDER</v>
      </c>
      <c r="J72" s="3">
        <f t="shared" si="7"/>
        <v>1</v>
      </c>
      <c r="K72" s="3">
        <f t="shared" si="8"/>
        <v>157</v>
      </c>
      <c r="L72" s="4">
        <f t="shared" si="9"/>
        <v>0.15</v>
      </c>
      <c r="M72" s="3">
        <f t="shared" si="10"/>
        <v>133.45</v>
      </c>
      <c r="N72" s="3">
        <f t="shared" si="11"/>
        <v>93</v>
      </c>
      <c r="O72" s="3">
        <f t="shared" si="12"/>
        <v>40</v>
      </c>
      <c r="P72" s="3" t="str">
        <f t="shared" si="13"/>
        <v>UPI</v>
      </c>
      <c r="Q72" s="3" t="str">
        <f t="shared" si="14"/>
        <v>CANCELLED</v>
      </c>
    </row>
    <row r="73">
      <c r="A73" s="1" t="s">
        <v>233</v>
      </c>
      <c r="B73" s="2">
        <f t="shared" si="1"/>
        <v>46131</v>
      </c>
      <c r="C73" s="1" t="s">
        <v>234</v>
      </c>
      <c r="D73" s="3" t="str">
        <f t="shared" si="2"/>
        <v>SHOBN</v>
      </c>
      <c r="E73" s="3" t="str">
        <f t="shared" si="3"/>
        <v>KERALA</v>
      </c>
      <c r="F73" s="3" t="str">
        <f t="shared" si="4"/>
        <v>KOCHI</v>
      </c>
      <c r="G73" s="1" t="s">
        <v>235</v>
      </c>
      <c r="H73" s="3" t="str">
        <f t="shared" si="5"/>
        <v>BOOKS</v>
      </c>
      <c r="I73" s="3" t="str">
        <f t="shared" si="6"/>
        <v>LIFE OF PI</v>
      </c>
      <c r="J73" s="3">
        <f t="shared" si="7"/>
        <v>2</v>
      </c>
      <c r="K73" s="3">
        <f t="shared" si="8"/>
        <v>226</v>
      </c>
      <c r="L73" s="4">
        <f t="shared" si="9"/>
        <v>0</v>
      </c>
      <c r="M73" s="3">
        <f t="shared" si="10"/>
        <v>452</v>
      </c>
      <c r="N73" s="3">
        <f t="shared" si="11"/>
        <v>316</v>
      </c>
      <c r="O73" s="3">
        <f t="shared" si="12"/>
        <v>136</v>
      </c>
      <c r="P73" s="3" t="str">
        <f t="shared" si="13"/>
        <v>CARD</v>
      </c>
      <c r="Q73" s="3" t="str">
        <f t="shared" si="14"/>
        <v>RETURNED</v>
      </c>
    </row>
    <row r="74">
      <c r="A74" s="1" t="s">
        <v>236</v>
      </c>
      <c r="B74" s="2">
        <f t="shared" si="1"/>
        <v>46364</v>
      </c>
      <c r="C74" s="1" t="s">
        <v>237</v>
      </c>
      <c r="D74" s="3" t="str">
        <f t="shared" si="2"/>
        <v>SOBI</v>
      </c>
      <c r="E74" s="3" t="str">
        <f t="shared" si="3"/>
        <v>KARNATAKA</v>
      </c>
      <c r="F74" s="3" t="str">
        <f t="shared" si="4"/>
        <v>BANGALURU</v>
      </c>
      <c r="G74" s="1" t="s">
        <v>238</v>
      </c>
      <c r="H74" s="3" t="str">
        <f t="shared" si="5"/>
        <v>ACCESSORIES</v>
      </c>
      <c r="I74" s="3" t="str">
        <f t="shared" si="6"/>
        <v>EARRINGS</v>
      </c>
      <c r="J74" s="3">
        <f t="shared" si="7"/>
        <v>5</v>
      </c>
      <c r="K74" s="3">
        <f t="shared" si="8"/>
        <v>227</v>
      </c>
      <c r="L74" s="4">
        <f t="shared" si="9"/>
        <v>0</v>
      </c>
      <c r="M74" s="3">
        <f t="shared" si="10"/>
        <v>1135</v>
      </c>
      <c r="N74" s="3">
        <f t="shared" si="11"/>
        <v>795</v>
      </c>
      <c r="O74" s="3">
        <f t="shared" si="12"/>
        <v>340</v>
      </c>
      <c r="P74" s="3" t="str">
        <f t="shared" si="13"/>
        <v>COD</v>
      </c>
      <c r="Q74" s="3" t="str">
        <f t="shared" si="14"/>
        <v>DELIVERED</v>
      </c>
    </row>
    <row r="75">
      <c r="A75" s="1" t="s">
        <v>239</v>
      </c>
      <c r="B75" s="2">
        <f t="shared" si="1"/>
        <v>46253</v>
      </c>
      <c r="C75" s="1" t="s">
        <v>240</v>
      </c>
      <c r="D75" s="3" t="str">
        <f t="shared" si="2"/>
        <v>SUJI</v>
      </c>
      <c r="E75" s="3" t="str">
        <f t="shared" si="3"/>
        <v>ANDHRA PRADESH</v>
      </c>
      <c r="F75" s="3" t="str">
        <f t="shared" si="4"/>
        <v>TIRUPATI</v>
      </c>
      <c r="G75" s="1" t="s">
        <v>241</v>
      </c>
      <c r="H75" s="3" t="str">
        <f t="shared" si="5"/>
        <v>ELECTRONICS</v>
      </c>
      <c r="I75" s="3" t="str">
        <f t="shared" si="6"/>
        <v>WIRELESS EARBUDS</v>
      </c>
      <c r="J75" s="3">
        <f t="shared" si="7"/>
        <v>3</v>
      </c>
      <c r="K75" s="3">
        <f t="shared" si="8"/>
        <v>385</v>
      </c>
      <c r="L75" s="4">
        <f t="shared" si="9"/>
        <v>0.17</v>
      </c>
      <c r="M75" s="3">
        <f t="shared" si="10"/>
        <v>958.65</v>
      </c>
      <c r="N75" s="3">
        <f t="shared" si="11"/>
        <v>671</v>
      </c>
      <c r="O75" s="3">
        <f t="shared" si="12"/>
        <v>288</v>
      </c>
      <c r="P75" s="3" t="str">
        <f t="shared" si="13"/>
        <v>NET BANKING</v>
      </c>
      <c r="Q75" s="3" t="str">
        <f t="shared" si="14"/>
        <v>SHIPPED</v>
      </c>
    </row>
    <row r="76">
      <c r="A76" s="1" t="s">
        <v>242</v>
      </c>
      <c r="B76" s="2">
        <f t="shared" si="1"/>
        <v>46255</v>
      </c>
      <c r="C76" s="1" t="s">
        <v>243</v>
      </c>
      <c r="D76" s="3" t="str">
        <f t="shared" si="2"/>
        <v>RATHA</v>
      </c>
      <c r="E76" s="3" t="str">
        <f t="shared" si="3"/>
        <v>TELUGANA</v>
      </c>
      <c r="F76" s="3" t="str">
        <f t="shared" si="4"/>
        <v>HYDERABAD</v>
      </c>
      <c r="G76" s="1" t="s">
        <v>244</v>
      </c>
      <c r="H76" s="3" t="str">
        <f t="shared" si="5"/>
        <v>SPORTS</v>
      </c>
      <c r="I76" s="3" t="str">
        <f t="shared" si="6"/>
        <v>FOOTBALL</v>
      </c>
      <c r="J76" s="3">
        <f t="shared" si="7"/>
        <v>5</v>
      </c>
      <c r="K76" s="3">
        <f t="shared" si="8"/>
        <v>375</v>
      </c>
      <c r="L76" s="4">
        <f t="shared" si="9"/>
        <v>0.1</v>
      </c>
      <c r="M76" s="3">
        <f t="shared" si="10"/>
        <v>1687.5</v>
      </c>
      <c r="N76" s="3">
        <f t="shared" si="11"/>
        <v>1181</v>
      </c>
      <c r="O76" s="3">
        <f t="shared" si="12"/>
        <v>507</v>
      </c>
      <c r="P76" s="3" t="str">
        <f t="shared" si="13"/>
        <v>WALLET</v>
      </c>
      <c r="Q76" s="3" t="str">
        <f t="shared" si="14"/>
        <v>CANCELLED</v>
      </c>
    </row>
    <row r="77">
      <c r="A77" s="1" t="s">
        <v>245</v>
      </c>
      <c r="B77" s="2">
        <f t="shared" si="1"/>
        <v>46220</v>
      </c>
      <c r="C77" s="1" t="s">
        <v>246</v>
      </c>
      <c r="D77" s="3" t="str">
        <f t="shared" si="2"/>
        <v>SUSA</v>
      </c>
      <c r="E77" s="3" t="str">
        <f t="shared" si="3"/>
        <v>UTTHRA PRADESH</v>
      </c>
      <c r="F77" s="3" t="str">
        <f t="shared" si="4"/>
        <v>LUCKNOW</v>
      </c>
      <c r="G77" s="1" t="s">
        <v>247</v>
      </c>
      <c r="H77" s="3" t="str">
        <f t="shared" si="5"/>
        <v>FOOD</v>
      </c>
      <c r="I77" s="3" t="str">
        <f t="shared" si="6"/>
        <v>BIRIYANI</v>
      </c>
      <c r="J77" s="3">
        <f t="shared" si="7"/>
        <v>1</v>
      </c>
      <c r="K77" s="3">
        <f t="shared" si="8"/>
        <v>575</v>
      </c>
      <c r="L77" s="4">
        <f t="shared" si="9"/>
        <v>0.5</v>
      </c>
      <c r="M77" s="3">
        <f t="shared" si="10"/>
        <v>287.5</v>
      </c>
      <c r="N77" s="3">
        <f t="shared" si="11"/>
        <v>201</v>
      </c>
      <c r="O77" s="3">
        <f t="shared" si="12"/>
        <v>87</v>
      </c>
      <c r="P77" s="3" t="str">
        <f t="shared" si="13"/>
        <v>UPI</v>
      </c>
      <c r="Q77" s="3" t="str">
        <f t="shared" si="14"/>
        <v>RETURNED</v>
      </c>
    </row>
    <row r="78">
      <c r="A78" s="1" t="s">
        <v>248</v>
      </c>
      <c r="B78" s="2">
        <f t="shared" si="1"/>
        <v>46287</v>
      </c>
      <c r="C78" s="1" t="s">
        <v>249</v>
      </c>
      <c r="D78" s="3" t="str">
        <f t="shared" si="2"/>
        <v>NIVE</v>
      </c>
      <c r="E78" s="3" t="str">
        <f t="shared" si="3"/>
        <v>GUJARAT</v>
      </c>
      <c r="F78" s="3" t="str">
        <f t="shared" si="4"/>
        <v>SURAT</v>
      </c>
      <c r="G78" s="1" t="s">
        <v>250</v>
      </c>
      <c r="H78" s="3" t="str">
        <f t="shared" si="5"/>
        <v>DRESS</v>
      </c>
      <c r="I78" s="3" t="str">
        <f t="shared" si="6"/>
        <v>WOMEN WAERS</v>
      </c>
      <c r="J78" s="3">
        <f t="shared" si="7"/>
        <v>3</v>
      </c>
      <c r="K78" s="3">
        <f t="shared" si="8"/>
        <v>526</v>
      </c>
      <c r="L78" s="4">
        <f t="shared" si="9"/>
        <v>0.5</v>
      </c>
      <c r="M78" s="3">
        <f t="shared" si="10"/>
        <v>789</v>
      </c>
      <c r="N78" s="3">
        <f t="shared" si="11"/>
        <v>552</v>
      </c>
      <c r="O78" s="3">
        <f t="shared" si="12"/>
        <v>237</v>
      </c>
      <c r="P78" s="3" t="str">
        <f t="shared" si="13"/>
        <v>CARD</v>
      </c>
      <c r="Q78" s="3" t="str">
        <f t="shared" si="14"/>
        <v>DELIVERED</v>
      </c>
    </row>
    <row r="79">
      <c r="A79" s="1" t="s">
        <v>251</v>
      </c>
      <c r="B79" s="2">
        <f t="shared" si="1"/>
        <v>46306</v>
      </c>
      <c r="C79" s="1" t="s">
        <v>252</v>
      </c>
      <c r="D79" s="3" t="str">
        <f t="shared" si="2"/>
        <v>VINO</v>
      </c>
      <c r="E79" s="3" t="str">
        <f t="shared" si="3"/>
        <v>RAJASTHAN</v>
      </c>
      <c r="F79" s="3" t="str">
        <f t="shared" si="4"/>
        <v>JAIPUR</v>
      </c>
      <c r="G79" s="1" t="s">
        <v>253</v>
      </c>
      <c r="H79" s="3" t="str">
        <f t="shared" si="5"/>
        <v>BEAUTY</v>
      </c>
      <c r="I79" s="3" t="str">
        <f t="shared" si="6"/>
        <v>KAJAL</v>
      </c>
      <c r="J79" s="3">
        <f t="shared" si="7"/>
        <v>3</v>
      </c>
      <c r="K79" s="3">
        <f t="shared" si="8"/>
        <v>343</v>
      </c>
      <c r="L79" s="4">
        <f t="shared" si="9"/>
        <v>0.1</v>
      </c>
      <c r="M79" s="3">
        <f t="shared" si="10"/>
        <v>926.1</v>
      </c>
      <c r="N79" s="3">
        <f t="shared" si="11"/>
        <v>648</v>
      </c>
      <c r="O79" s="3">
        <f t="shared" si="12"/>
        <v>278</v>
      </c>
      <c r="P79" s="3" t="str">
        <f t="shared" si="13"/>
        <v>COD</v>
      </c>
      <c r="Q79" s="3" t="str">
        <f t="shared" si="14"/>
        <v>SHIPPED</v>
      </c>
    </row>
    <row r="80">
      <c r="A80" s="1" t="s">
        <v>254</v>
      </c>
      <c r="B80" s="2">
        <f t="shared" si="1"/>
        <v>46258</v>
      </c>
      <c r="C80" s="1" t="s">
        <v>255</v>
      </c>
      <c r="D80" s="3" t="str">
        <f t="shared" si="2"/>
        <v>ABI</v>
      </c>
      <c r="E80" s="3" t="str">
        <f t="shared" si="3"/>
        <v>WEST BENGAL</v>
      </c>
      <c r="F80" s="3" t="str">
        <f t="shared" si="4"/>
        <v>KOLKATA</v>
      </c>
      <c r="G80" s="1" t="s">
        <v>256</v>
      </c>
      <c r="H80" s="3" t="str">
        <f t="shared" si="5"/>
        <v>HOME &amp; KITCHEN</v>
      </c>
      <c r="I80" s="3" t="str">
        <f t="shared" si="6"/>
        <v>MIXER GRAINDER</v>
      </c>
      <c r="J80" s="3">
        <f t="shared" si="7"/>
        <v>5</v>
      </c>
      <c r="K80" s="3">
        <f t="shared" si="8"/>
        <v>289</v>
      </c>
      <c r="L80" s="4">
        <f t="shared" si="9"/>
        <v>0.15</v>
      </c>
      <c r="M80" s="3">
        <f t="shared" si="10"/>
        <v>1228.25</v>
      </c>
      <c r="N80" s="3">
        <f t="shared" si="11"/>
        <v>860</v>
      </c>
      <c r="O80" s="3">
        <f t="shared" si="12"/>
        <v>368</v>
      </c>
      <c r="P80" s="3" t="str">
        <f t="shared" si="13"/>
        <v>NET BANKING</v>
      </c>
      <c r="Q80" s="3" t="str">
        <f t="shared" si="14"/>
        <v>CANCELLED</v>
      </c>
    </row>
    <row r="81">
      <c r="A81" s="1" t="s">
        <v>257</v>
      </c>
      <c r="B81" s="2">
        <f t="shared" si="1"/>
        <v>46027</v>
      </c>
      <c r="C81" s="1" t="s">
        <v>258</v>
      </c>
      <c r="D81" s="3" t="str">
        <f t="shared" si="2"/>
        <v>NIHAAR</v>
      </c>
      <c r="E81" s="3" t="str">
        <f t="shared" si="3"/>
        <v>MAGARASTRA</v>
      </c>
      <c r="F81" s="3" t="str">
        <f t="shared" si="4"/>
        <v>PUNE</v>
      </c>
      <c r="G81" s="1" t="s">
        <v>259</v>
      </c>
      <c r="H81" s="3" t="str">
        <f t="shared" si="5"/>
        <v>BOOKS</v>
      </c>
      <c r="I81" s="3" t="str">
        <f t="shared" si="6"/>
        <v>LIFE OF PI</v>
      </c>
      <c r="J81" s="3">
        <f t="shared" si="7"/>
        <v>2</v>
      </c>
      <c r="K81" s="3">
        <f t="shared" si="8"/>
        <v>276</v>
      </c>
      <c r="L81" s="4">
        <f t="shared" si="9"/>
        <v>0.15</v>
      </c>
      <c r="M81" s="3">
        <f t="shared" si="10"/>
        <v>469.2</v>
      </c>
      <c r="N81" s="3">
        <f t="shared" si="11"/>
        <v>328</v>
      </c>
      <c r="O81" s="3">
        <f t="shared" si="12"/>
        <v>141</v>
      </c>
      <c r="P81" s="3" t="str">
        <f t="shared" si="13"/>
        <v>WALLET</v>
      </c>
      <c r="Q81" s="3" t="str">
        <f t="shared" si="14"/>
        <v>RETURNED</v>
      </c>
    </row>
    <row r="82">
      <c r="A82" s="1" t="s">
        <v>260</v>
      </c>
      <c r="B82" s="2">
        <f t="shared" si="1"/>
        <v>46164</v>
      </c>
      <c r="C82" s="1" t="s">
        <v>261</v>
      </c>
      <c r="D82" s="3" t="str">
        <f t="shared" si="2"/>
        <v>SRI</v>
      </c>
      <c r="E82" s="3" t="str">
        <f t="shared" si="3"/>
        <v>TAMILNADU</v>
      </c>
      <c r="F82" s="3" t="str">
        <f t="shared" si="4"/>
        <v>THOOTHUKUDI</v>
      </c>
      <c r="G82" s="1" t="s">
        <v>262</v>
      </c>
      <c r="H82" s="3" t="str">
        <f t="shared" si="5"/>
        <v>ACCESSORIES</v>
      </c>
      <c r="I82" s="3" t="str">
        <f t="shared" si="6"/>
        <v>EARRINGS</v>
      </c>
      <c r="J82" s="3">
        <f t="shared" si="7"/>
        <v>5</v>
      </c>
      <c r="K82" s="3">
        <f t="shared" si="8"/>
        <v>285</v>
      </c>
      <c r="L82" s="4">
        <f t="shared" si="9"/>
        <v>0.17</v>
      </c>
      <c r="M82" s="3">
        <f t="shared" si="10"/>
        <v>1182.75</v>
      </c>
      <c r="N82" s="3">
        <f t="shared" si="11"/>
        <v>828</v>
      </c>
      <c r="O82" s="3">
        <f t="shared" si="12"/>
        <v>355</v>
      </c>
      <c r="P82" s="3" t="str">
        <f t="shared" si="13"/>
        <v>UPI</v>
      </c>
      <c r="Q82" s="3" t="str">
        <f t="shared" si="14"/>
        <v>DELIVERED</v>
      </c>
    </row>
    <row r="83">
      <c r="A83" s="1" t="s">
        <v>263</v>
      </c>
      <c r="B83" s="2">
        <f t="shared" si="1"/>
        <v>46238</v>
      </c>
      <c r="C83" s="1" t="s">
        <v>264</v>
      </c>
      <c r="D83" s="3" t="str">
        <f t="shared" si="2"/>
        <v>SHOBN</v>
      </c>
      <c r="E83" s="3" t="str">
        <f t="shared" si="3"/>
        <v>KERALA</v>
      </c>
      <c r="F83" s="3" t="str">
        <f t="shared" si="4"/>
        <v>KOCHI</v>
      </c>
      <c r="G83" s="1" t="s">
        <v>265</v>
      </c>
      <c r="H83" s="3" t="str">
        <f t="shared" si="5"/>
        <v>ELECTRONICS</v>
      </c>
      <c r="I83" s="3" t="str">
        <f t="shared" si="6"/>
        <v>WIRELESS EARBUDS</v>
      </c>
      <c r="J83" s="3">
        <f t="shared" si="7"/>
        <v>4</v>
      </c>
      <c r="K83" s="3">
        <f t="shared" si="8"/>
        <v>296</v>
      </c>
      <c r="L83" s="4">
        <f t="shared" si="9"/>
        <v>0.17</v>
      </c>
      <c r="M83" s="3">
        <f t="shared" si="10"/>
        <v>982.72</v>
      </c>
      <c r="N83" s="3">
        <f t="shared" si="11"/>
        <v>688</v>
      </c>
      <c r="O83" s="3">
        <f t="shared" si="12"/>
        <v>295</v>
      </c>
      <c r="P83" s="3" t="str">
        <f t="shared" si="13"/>
        <v>CARD</v>
      </c>
      <c r="Q83" s="3" t="str">
        <f t="shared" si="14"/>
        <v>SHIPPED</v>
      </c>
    </row>
    <row r="84">
      <c r="A84" s="1" t="s">
        <v>266</v>
      </c>
      <c r="B84" s="2">
        <f t="shared" si="1"/>
        <v>46110</v>
      </c>
      <c r="C84" s="1" t="s">
        <v>267</v>
      </c>
      <c r="D84" s="3" t="str">
        <f t="shared" si="2"/>
        <v>SOBI</v>
      </c>
      <c r="E84" s="3" t="str">
        <f t="shared" si="3"/>
        <v>KARNATAKA</v>
      </c>
      <c r="F84" s="3" t="str">
        <f t="shared" si="4"/>
        <v>BANGALURU</v>
      </c>
      <c r="G84" s="1" t="s">
        <v>268</v>
      </c>
      <c r="H84" s="3" t="str">
        <f t="shared" si="5"/>
        <v>SPORTS</v>
      </c>
      <c r="I84" s="3" t="str">
        <f t="shared" si="6"/>
        <v>FOOTBALL</v>
      </c>
      <c r="J84" s="3">
        <f t="shared" si="7"/>
        <v>2</v>
      </c>
      <c r="K84" s="3">
        <f t="shared" si="8"/>
        <v>555</v>
      </c>
      <c r="L84" s="4">
        <f t="shared" si="9"/>
        <v>0.17</v>
      </c>
      <c r="M84" s="3">
        <f t="shared" si="10"/>
        <v>921.3</v>
      </c>
      <c r="N84" s="3">
        <f t="shared" si="11"/>
        <v>645</v>
      </c>
      <c r="O84" s="3">
        <f t="shared" si="12"/>
        <v>276</v>
      </c>
      <c r="P84" s="3" t="str">
        <f t="shared" si="13"/>
        <v>COD</v>
      </c>
      <c r="Q84" s="3" t="str">
        <f t="shared" si="14"/>
        <v>CANCELLED</v>
      </c>
    </row>
    <row r="85">
      <c r="A85" s="1" t="s">
        <v>269</v>
      </c>
      <c r="B85" s="2">
        <f t="shared" si="1"/>
        <v>46336</v>
      </c>
      <c r="C85" s="1" t="s">
        <v>270</v>
      </c>
      <c r="D85" s="3" t="str">
        <f t="shared" si="2"/>
        <v>SUJI</v>
      </c>
      <c r="E85" s="3" t="str">
        <f t="shared" si="3"/>
        <v>ANDHRA PRADESH</v>
      </c>
      <c r="F85" s="3" t="str">
        <f t="shared" si="4"/>
        <v>TIRUPATI</v>
      </c>
      <c r="G85" s="1" t="s">
        <v>271</v>
      </c>
      <c r="H85" s="3" t="str">
        <f t="shared" si="5"/>
        <v>FOOD</v>
      </c>
      <c r="I85" s="3" t="str">
        <f t="shared" si="6"/>
        <v>BIRIYANI</v>
      </c>
      <c r="J85" s="3">
        <f t="shared" si="7"/>
        <v>4</v>
      </c>
      <c r="K85" s="3">
        <f t="shared" si="8"/>
        <v>166</v>
      </c>
      <c r="L85" s="4">
        <f t="shared" si="9"/>
        <v>0.1</v>
      </c>
      <c r="M85" s="3">
        <f t="shared" si="10"/>
        <v>597.6</v>
      </c>
      <c r="N85" s="3">
        <f t="shared" si="11"/>
        <v>418</v>
      </c>
      <c r="O85" s="3">
        <f t="shared" si="12"/>
        <v>180</v>
      </c>
      <c r="P85" s="3" t="str">
        <f t="shared" si="13"/>
        <v>NET BANKING</v>
      </c>
      <c r="Q85" s="3" t="str">
        <f t="shared" si="14"/>
        <v>RETURNED</v>
      </c>
    </row>
    <row r="86">
      <c r="A86" s="1" t="s">
        <v>272</v>
      </c>
      <c r="B86" s="2">
        <f t="shared" si="1"/>
        <v>46047</v>
      </c>
      <c r="C86" s="1" t="s">
        <v>273</v>
      </c>
      <c r="D86" s="3" t="str">
        <f t="shared" si="2"/>
        <v>RATHA</v>
      </c>
      <c r="E86" s="3" t="str">
        <f t="shared" si="3"/>
        <v>TELUGANA</v>
      </c>
      <c r="F86" s="3" t="str">
        <f t="shared" si="4"/>
        <v>HYDERABAD</v>
      </c>
      <c r="G86" s="1" t="s">
        <v>274</v>
      </c>
      <c r="H86" s="3" t="str">
        <f t="shared" si="5"/>
        <v>DRESS</v>
      </c>
      <c r="I86" s="3" t="str">
        <f t="shared" si="6"/>
        <v>WOMEN WAERS</v>
      </c>
      <c r="J86" s="3">
        <f t="shared" si="7"/>
        <v>2</v>
      </c>
      <c r="K86" s="3">
        <f t="shared" si="8"/>
        <v>183</v>
      </c>
      <c r="L86" s="4">
        <f t="shared" si="9"/>
        <v>0.5</v>
      </c>
      <c r="M86" s="3">
        <f t="shared" si="10"/>
        <v>183</v>
      </c>
      <c r="N86" s="3">
        <f t="shared" si="11"/>
        <v>128</v>
      </c>
      <c r="O86" s="3">
        <f t="shared" si="12"/>
        <v>55</v>
      </c>
      <c r="P86" s="3" t="str">
        <f t="shared" si="13"/>
        <v>WALLET</v>
      </c>
      <c r="Q86" s="3" t="str">
        <f t="shared" si="14"/>
        <v>DELIVERED</v>
      </c>
    </row>
    <row r="87">
      <c r="A87" s="1" t="s">
        <v>275</v>
      </c>
      <c r="B87" s="2">
        <f t="shared" si="1"/>
        <v>46070</v>
      </c>
      <c r="C87" s="1" t="s">
        <v>276</v>
      </c>
      <c r="D87" s="3" t="str">
        <f t="shared" si="2"/>
        <v>SUSA</v>
      </c>
      <c r="E87" s="3" t="str">
        <f t="shared" si="3"/>
        <v>UTTHRA PRADESH</v>
      </c>
      <c r="F87" s="3" t="str">
        <f t="shared" si="4"/>
        <v>LUCKNOW</v>
      </c>
      <c r="G87" s="1" t="s">
        <v>277</v>
      </c>
      <c r="H87" s="3" t="str">
        <f t="shared" si="5"/>
        <v>BEAUTY</v>
      </c>
      <c r="I87" s="3" t="str">
        <f t="shared" si="6"/>
        <v>KAJAL</v>
      </c>
      <c r="J87" s="3">
        <f t="shared" si="7"/>
        <v>3</v>
      </c>
      <c r="K87" s="3">
        <f t="shared" si="8"/>
        <v>262</v>
      </c>
      <c r="L87" s="4">
        <f t="shared" si="9"/>
        <v>0.15</v>
      </c>
      <c r="M87" s="3">
        <f t="shared" si="10"/>
        <v>668.1</v>
      </c>
      <c r="N87" s="3">
        <f t="shared" si="11"/>
        <v>468</v>
      </c>
      <c r="O87" s="3">
        <f t="shared" si="12"/>
        <v>200</v>
      </c>
      <c r="P87" s="3" t="str">
        <f t="shared" si="13"/>
        <v>UPI</v>
      </c>
      <c r="Q87" s="3" t="str">
        <f t="shared" si="14"/>
        <v>SHIPPED</v>
      </c>
    </row>
    <row r="88">
      <c r="A88" s="1" t="s">
        <v>278</v>
      </c>
      <c r="B88" s="2">
        <f t="shared" si="1"/>
        <v>46322</v>
      </c>
      <c r="C88" s="1" t="s">
        <v>279</v>
      </c>
      <c r="D88" s="3" t="str">
        <f t="shared" si="2"/>
        <v>NIVE</v>
      </c>
      <c r="E88" s="3" t="str">
        <f t="shared" si="3"/>
        <v>GUJARAT</v>
      </c>
      <c r="F88" s="3" t="str">
        <f t="shared" si="4"/>
        <v>SURAT</v>
      </c>
      <c r="G88" s="1" t="s">
        <v>280</v>
      </c>
      <c r="H88" s="3" t="str">
        <f t="shared" si="5"/>
        <v>HOME &amp; KITCHEN</v>
      </c>
      <c r="I88" s="3" t="str">
        <f t="shared" si="6"/>
        <v>MIXER GRAINDER</v>
      </c>
      <c r="J88" s="3">
        <f t="shared" si="7"/>
        <v>1</v>
      </c>
      <c r="K88" s="3">
        <f t="shared" si="8"/>
        <v>271</v>
      </c>
      <c r="L88" s="4">
        <f t="shared" si="9"/>
        <v>0.5</v>
      </c>
      <c r="M88" s="3">
        <f t="shared" si="10"/>
        <v>135.5</v>
      </c>
      <c r="N88" s="3">
        <f t="shared" si="11"/>
        <v>95</v>
      </c>
      <c r="O88" s="3">
        <f t="shared" si="12"/>
        <v>41</v>
      </c>
      <c r="P88" s="3" t="str">
        <f t="shared" si="13"/>
        <v>CARD</v>
      </c>
      <c r="Q88" s="3" t="str">
        <f t="shared" si="14"/>
        <v>CANCELLED</v>
      </c>
    </row>
    <row r="89">
      <c r="A89" s="1" t="s">
        <v>281</v>
      </c>
      <c r="B89" s="2">
        <f t="shared" si="1"/>
        <v>46290</v>
      </c>
      <c r="C89" s="1" t="s">
        <v>282</v>
      </c>
      <c r="D89" s="3" t="str">
        <f t="shared" si="2"/>
        <v>VINO</v>
      </c>
      <c r="E89" s="3" t="str">
        <f t="shared" si="3"/>
        <v>RAJASTHAN</v>
      </c>
      <c r="F89" s="3" t="str">
        <f t="shared" si="4"/>
        <v>JAIPUR</v>
      </c>
      <c r="G89" s="1" t="s">
        <v>283</v>
      </c>
      <c r="H89" s="3" t="str">
        <f t="shared" si="5"/>
        <v>BOOKS</v>
      </c>
      <c r="I89" s="3" t="str">
        <f t="shared" si="6"/>
        <v>LIFE OF PI</v>
      </c>
      <c r="J89" s="3">
        <f t="shared" si="7"/>
        <v>3</v>
      </c>
      <c r="K89" s="3">
        <f t="shared" si="8"/>
        <v>324</v>
      </c>
      <c r="L89" s="4">
        <f t="shared" si="9"/>
        <v>0.15</v>
      </c>
      <c r="M89" s="3">
        <f t="shared" si="10"/>
        <v>826.2</v>
      </c>
      <c r="N89" s="3">
        <f t="shared" si="11"/>
        <v>578</v>
      </c>
      <c r="O89" s="3">
        <f t="shared" si="12"/>
        <v>248</v>
      </c>
      <c r="P89" s="3" t="str">
        <f t="shared" si="13"/>
        <v>COD</v>
      </c>
      <c r="Q89" s="3" t="str">
        <f t="shared" si="14"/>
        <v>RETURNED</v>
      </c>
    </row>
    <row r="90">
      <c r="A90" s="1" t="s">
        <v>284</v>
      </c>
      <c r="B90" s="2">
        <f t="shared" si="1"/>
        <v>46297</v>
      </c>
      <c r="C90" s="1" t="s">
        <v>285</v>
      </c>
      <c r="D90" s="3" t="str">
        <f t="shared" si="2"/>
        <v>ABI</v>
      </c>
      <c r="E90" s="3" t="str">
        <f t="shared" si="3"/>
        <v>WEST BENGAL</v>
      </c>
      <c r="F90" s="3" t="str">
        <f t="shared" si="4"/>
        <v>KOLKATA</v>
      </c>
      <c r="G90" s="1" t="s">
        <v>286</v>
      </c>
      <c r="H90" s="3" t="str">
        <f t="shared" si="5"/>
        <v>ACCESSORIES</v>
      </c>
      <c r="I90" s="3" t="str">
        <f t="shared" si="6"/>
        <v>EARRINGS</v>
      </c>
      <c r="J90" s="3">
        <f t="shared" si="7"/>
        <v>1</v>
      </c>
      <c r="K90" s="3">
        <f t="shared" si="8"/>
        <v>453</v>
      </c>
      <c r="L90" s="4">
        <f t="shared" si="9"/>
        <v>0.17</v>
      </c>
      <c r="M90" s="3">
        <f t="shared" si="10"/>
        <v>375.99</v>
      </c>
      <c r="N90" s="3">
        <f t="shared" si="11"/>
        <v>263</v>
      </c>
      <c r="O90" s="3">
        <f t="shared" si="12"/>
        <v>113</v>
      </c>
      <c r="P90" s="3" t="str">
        <f t="shared" si="13"/>
        <v>NET BANKING</v>
      </c>
      <c r="Q90" s="3" t="str">
        <f t="shared" si="14"/>
        <v>DELIVERED</v>
      </c>
    </row>
    <row r="91">
      <c r="A91" s="1" t="s">
        <v>287</v>
      </c>
      <c r="B91" s="2">
        <f t="shared" si="1"/>
        <v>46212</v>
      </c>
      <c r="C91" s="1" t="s">
        <v>288</v>
      </c>
      <c r="D91" s="3" t="str">
        <f t="shared" si="2"/>
        <v>NIHAAR</v>
      </c>
      <c r="E91" s="3" t="str">
        <f t="shared" si="3"/>
        <v>MAGARASTRA</v>
      </c>
      <c r="F91" s="3" t="str">
        <f t="shared" si="4"/>
        <v>PUNE</v>
      </c>
      <c r="G91" s="1" t="s">
        <v>289</v>
      </c>
      <c r="H91" s="3" t="str">
        <f t="shared" si="5"/>
        <v>ELECTRONICS</v>
      </c>
      <c r="I91" s="3" t="str">
        <f t="shared" si="6"/>
        <v>WIRELESS EARBUDS</v>
      </c>
      <c r="J91" s="3">
        <f t="shared" si="7"/>
        <v>4</v>
      </c>
      <c r="K91" s="3">
        <f t="shared" si="8"/>
        <v>557</v>
      </c>
      <c r="L91" s="4">
        <f t="shared" si="9"/>
        <v>0</v>
      </c>
      <c r="M91" s="3">
        <f t="shared" si="10"/>
        <v>2228</v>
      </c>
      <c r="N91" s="3">
        <f t="shared" si="11"/>
        <v>1560</v>
      </c>
      <c r="O91" s="3">
        <f t="shared" si="12"/>
        <v>668</v>
      </c>
      <c r="P91" s="3" t="str">
        <f t="shared" si="13"/>
        <v>WALLET</v>
      </c>
      <c r="Q91" s="3" t="str">
        <f t="shared" si="14"/>
        <v>SHIPPED</v>
      </c>
    </row>
    <row r="92">
      <c r="A92" s="1" t="s">
        <v>290</v>
      </c>
      <c r="B92" s="2">
        <f t="shared" si="1"/>
        <v>46188</v>
      </c>
      <c r="C92" s="1" t="s">
        <v>291</v>
      </c>
      <c r="D92" s="3" t="str">
        <f t="shared" si="2"/>
        <v>SRI</v>
      </c>
      <c r="E92" s="3" t="str">
        <f t="shared" si="3"/>
        <v>TAMILNADU</v>
      </c>
      <c r="F92" s="3" t="str">
        <f t="shared" si="4"/>
        <v>THOOTHUKUDI</v>
      </c>
      <c r="G92" s="1" t="s">
        <v>292</v>
      </c>
      <c r="H92" s="3" t="str">
        <f t="shared" si="5"/>
        <v>SPORTS</v>
      </c>
      <c r="I92" s="3" t="str">
        <f t="shared" si="6"/>
        <v>FOOTBALL</v>
      </c>
      <c r="J92" s="3">
        <f t="shared" si="7"/>
        <v>2</v>
      </c>
      <c r="K92" s="3">
        <f t="shared" si="8"/>
        <v>385</v>
      </c>
      <c r="L92" s="4">
        <f t="shared" si="9"/>
        <v>0.1</v>
      </c>
      <c r="M92" s="3">
        <f t="shared" si="10"/>
        <v>693</v>
      </c>
      <c r="N92" s="3">
        <f t="shared" si="11"/>
        <v>485</v>
      </c>
      <c r="O92" s="3">
        <f t="shared" si="12"/>
        <v>208</v>
      </c>
      <c r="P92" s="3" t="str">
        <f t="shared" si="13"/>
        <v>UPI</v>
      </c>
      <c r="Q92" s="3" t="str">
        <f t="shared" si="14"/>
        <v>CANCELLED</v>
      </c>
    </row>
    <row r="93">
      <c r="A93" s="1" t="s">
        <v>293</v>
      </c>
      <c r="B93" s="2">
        <f t="shared" si="1"/>
        <v>46192</v>
      </c>
      <c r="C93" s="1" t="s">
        <v>294</v>
      </c>
      <c r="D93" s="3" t="str">
        <f t="shared" si="2"/>
        <v>SHOBN</v>
      </c>
      <c r="E93" s="3" t="str">
        <f t="shared" si="3"/>
        <v>KERALA</v>
      </c>
      <c r="F93" s="3" t="str">
        <f t="shared" si="4"/>
        <v>KOCHI</v>
      </c>
      <c r="G93" s="1" t="s">
        <v>295</v>
      </c>
      <c r="H93" s="3" t="str">
        <f t="shared" si="5"/>
        <v>FOOD</v>
      </c>
      <c r="I93" s="3" t="str">
        <f t="shared" si="6"/>
        <v>BIRIYANI</v>
      </c>
      <c r="J93" s="3">
        <f t="shared" si="7"/>
        <v>5</v>
      </c>
      <c r="K93" s="3">
        <f t="shared" si="8"/>
        <v>282</v>
      </c>
      <c r="L93" s="4">
        <f t="shared" si="9"/>
        <v>0.5</v>
      </c>
      <c r="M93" s="3">
        <f t="shared" si="10"/>
        <v>705</v>
      </c>
      <c r="N93" s="3">
        <f t="shared" si="11"/>
        <v>494</v>
      </c>
      <c r="O93" s="3">
        <f t="shared" si="12"/>
        <v>211</v>
      </c>
      <c r="P93" s="3" t="str">
        <f t="shared" si="13"/>
        <v>CARD</v>
      </c>
      <c r="Q93" s="3" t="str">
        <f t="shared" si="14"/>
        <v>RETURNED</v>
      </c>
    </row>
    <row r="94">
      <c r="A94" s="1" t="s">
        <v>296</v>
      </c>
      <c r="B94" s="2">
        <f t="shared" si="1"/>
        <v>46302</v>
      </c>
      <c r="C94" s="1" t="s">
        <v>297</v>
      </c>
      <c r="D94" s="3" t="str">
        <f t="shared" si="2"/>
        <v>SOBI</v>
      </c>
      <c r="E94" s="3" t="str">
        <f t="shared" si="3"/>
        <v>KARNATAKA</v>
      </c>
      <c r="F94" s="3" t="str">
        <f t="shared" si="4"/>
        <v>BANGALURU</v>
      </c>
      <c r="G94" s="1" t="s">
        <v>298</v>
      </c>
      <c r="H94" s="3" t="str">
        <f t="shared" si="5"/>
        <v>DRESS</v>
      </c>
      <c r="I94" s="3" t="str">
        <f t="shared" si="6"/>
        <v>WOMEN WAERS</v>
      </c>
      <c r="J94" s="3">
        <f t="shared" si="7"/>
        <v>4</v>
      </c>
      <c r="K94" s="3">
        <f t="shared" si="8"/>
        <v>412</v>
      </c>
      <c r="L94" s="4">
        <f t="shared" si="9"/>
        <v>0.15</v>
      </c>
      <c r="M94" s="3">
        <f t="shared" si="10"/>
        <v>1400.8</v>
      </c>
      <c r="N94" s="3">
        <f t="shared" si="11"/>
        <v>981</v>
      </c>
      <c r="O94" s="3">
        <f t="shared" si="12"/>
        <v>420</v>
      </c>
      <c r="P94" s="3" t="str">
        <f t="shared" si="13"/>
        <v>COD</v>
      </c>
      <c r="Q94" s="3" t="str">
        <f t="shared" si="14"/>
        <v>DELIVERED</v>
      </c>
    </row>
    <row r="95">
      <c r="A95" s="1" t="s">
        <v>299</v>
      </c>
      <c r="B95" s="2">
        <f t="shared" si="1"/>
        <v>46114</v>
      </c>
      <c r="C95" s="1" t="s">
        <v>300</v>
      </c>
      <c r="D95" s="3" t="str">
        <f t="shared" si="2"/>
        <v>SUJI</v>
      </c>
      <c r="E95" s="3" t="str">
        <f t="shared" si="3"/>
        <v>ANDHRA PRADESH</v>
      </c>
      <c r="F95" s="3" t="str">
        <f t="shared" si="4"/>
        <v>TIRUPATI</v>
      </c>
      <c r="G95" s="1" t="s">
        <v>301</v>
      </c>
      <c r="H95" s="3" t="str">
        <f t="shared" si="5"/>
        <v>BEAUTY</v>
      </c>
      <c r="I95" s="3" t="str">
        <f t="shared" si="6"/>
        <v>KAJAL</v>
      </c>
      <c r="J95" s="3">
        <f t="shared" si="7"/>
        <v>2</v>
      </c>
      <c r="K95" s="3">
        <f t="shared" si="8"/>
        <v>235</v>
      </c>
      <c r="L95" s="4">
        <f t="shared" si="9"/>
        <v>0.15</v>
      </c>
      <c r="M95" s="3">
        <f t="shared" si="10"/>
        <v>399.5</v>
      </c>
      <c r="N95" s="3">
        <f t="shared" si="11"/>
        <v>280</v>
      </c>
      <c r="O95" s="3">
        <f t="shared" si="12"/>
        <v>120</v>
      </c>
      <c r="P95" s="3" t="str">
        <f t="shared" si="13"/>
        <v>NET BANKING</v>
      </c>
      <c r="Q95" s="3" t="str">
        <f t="shared" si="14"/>
        <v>SHIPPED</v>
      </c>
    </row>
    <row r="96">
      <c r="A96" s="1" t="s">
        <v>302</v>
      </c>
      <c r="B96" s="2">
        <f t="shared" si="1"/>
        <v>46072</v>
      </c>
      <c r="C96" s="1" t="s">
        <v>303</v>
      </c>
      <c r="D96" s="3" t="str">
        <f t="shared" si="2"/>
        <v>RATHA</v>
      </c>
      <c r="E96" s="3" t="str">
        <f t="shared" si="3"/>
        <v>TELUGANA</v>
      </c>
      <c r="F96" s="3" t="str">
        <f t="shared" si="4"/>
        <v>HYDERABAD</v>
      </c>
      <c r="G96" s="1" t="s">
        <v>304</v>
      </c>
      <c r="H96" s="3" t="str">
        <f t="shared" si="5"/>
        <v>HOME &amp; KITCHEN</v>
      </c>
      <c r="I96" s="3" t="str">
        <f t="shared" si="6"/>
        <v>MIXER GRAINDER</v>
      </c>
      <c r="J96" s="3">
        <f t="shared" si="7"/>
        <v>1</v>
      </c>
      <c r="K96" s="3">
        <f t="shared" si="8"/>
        <v>229</v>
      </c>
      <c r="L96" s="4">
        <f t="shared" si="9"/>
        <v>0.1</v>
      </c>
      <c r="M96" s="3">
        <f t="shared" si="10"/>
        <v>206.1</v>
      </c>
      <c r="N96" s="3">
        <f t="shared" si="11"/>
        <v>144</v>
      </c>
      <c r="O96" s="3">
        <f t="shared" si="12"/>
        <v>62</v>
      </c>
      <c r="P96" s="3" t="str">
        <f t="shared" si="13"/>
        <v>WALLET</v>
      </c>
      <c r="Q96" s="3" t="str">
        <f t="shared" si="14"/>
        <v>CANCELLED</v>
      </c>
    </row>
    <row r="97">
      <c r="A97" s="1" t="s">
        <v>305</v>
      </c>
      <c r="B97" s="2">
        <f t="shared" si="1"/>
        <v>46288</v>
      </c>
      <c r="C97" s="1" t="s">
        <v>306</v>
      </c>
      <c r="D97" s="3" t="str">
        <f t="shared" si="2"/>
        <v>SUSA</v>
      </c>
      <c r="E97" s="3" t="str">
        <f t="shared" si="3"/>
        <v>UTTHRA PRADESH</v>
      </c>
      <c r="F97" s="3" t="str">
        <f t="shared" si="4"/>
        <v>LUCKNOW</v>
      </c>
      <c r="G97" s="1" t="s">
        <v>307</v>
      </c>
      <c r="H97" s="3" t="str">
        <f t="shared" si="5"/>
        <v>BOOKS</v>
      </c>
      <c r="I97" s="3" t="str">
        <f t="shared" si="6"/>
        <v>LIFE OF PI</v>
      </c>
      <c r="J97" s="3">
        <f t="shared" si="7"/>
        <v>3</v>
      </c>
      <c r="K97" s="3">
        <f t="shared" si="8"/>
        <v>488</v>
      </c>
      <c r="L97" s="4">
        <f t="shared" si="9"/>
        <v>0.17</v>
      </c>
      <c r="M97" s="3">
        <f t="shared" si="10"/>
        <v>1215.12</v>
      </c>
      <c r="N97" s="3">
        <f t="shared" si="11"/>
        <v>851</v>
      </c>
      <c r="O97" s="3">
        <f t="shared" si="12"/>
        <v>364</v>
      </c>
      <c r="P97" s="3" t="str">
        <f t="shared" si="13"/>
        <v>UPI</v>
      </c>
      <c r="Q97" s="3" t="str">
        <f t="shared" si="14"/>
        <v>RETURNED</v>
      </c>
    </row>
    <row r="98">
      <c r="A98" s="1" t="s">
        <v>308</v>
      </c>
      <c r="B98" s="2">
        <f t="shared" si="1"/>
        <v>46379</v>
      </c>
      <c r="C98" s="1" t="s">
        <v>309</v>
      </c>
      <c r="D98" s="3" t="str">
        <f t="shared" si="2"/>
        <v>NIVE</v>
      </c>
      <c r="E98" s="3" t="str">
        <f t="shared" si="3"/>
        <v>GUJARAT</v>
      </c>
      <c r="F98" s="3" t="str">
        <f t="shared" si="4"/>
        <v>SURAT</v>
      </c>
      <c r="G98" s="1" t="s">
        <v>310</v>
      </c>
      <c r="H98" s="3" t="str">
        <f t="shared" si="5"/>
        <v>ACCESSORIES</v>
      </c>
      <c r="I98" s="3" t="str">
        <f t="shared" si="6"/>
        <v>EARRINGS</v>
      </c>
      <c r="J98" s="3">
        <f t="shared" si="7"/>
        <v>1</v>
      </c>
      <c r="K98" s="3">
        <f t="shared" si="8"/>
        <v>589</v>
      </c>
      <c r="L98" s="4">
        <f t="shared" si="9"/>
        <v>0.2</v>
      </c>
      <c r="M98" s="3">
        <f t="shared" si="10"/>
        <v>471.2</v>
      </c>
      <c r="N98" s="3">
        <f t="shared" si="11"/>
        <v>330</v>
      </c>
      <c r="O98" s="3">
        <f t="shared" si="12"/>
        <v>141</v>
      </c>
      <c r="P98" s="3" t="str">
        <f t="shared" si="13"/>
        <v>CARD</v>
      </c>
      <c r="Q98" s="3" t="str">
        <f t="shared" si="14"/>
        <v>DELIVERED</v>
      </c>
    </row>
    <row r="99">
      <c r="A99" s="1" t="s">
        <v>311</v>
      </c>
      <c r="B99" s="2">
        <f t="shared" si="1"/>
        <v>46052</v>
      </c>
      <c r="C99" s="1" t="s">
        <v>312</v>
      </c>
      <c r="D99" s="3" t="str">
        <f t="shared" si="2"/>
        <v>VINO</v>
      </c>
      <c r="E99" s="3" t="str">
        <f t="shared" si="3"/>
        <v>RAJASTHAN</v>
      </c>
      <c r="F99" s="3" t="str">
        <f t="shared" si="4"/>
        <v>JAIPUR</v>
      </c>
      <c r="G99" s="1" t="s">
        <v>313</v>
      </c>
      <c r="H99" s="3" t="str">
        <f t="shared" si="5"/>
        <v>ELECTRONICS</v>
      </c>
      <c r="I99" s="3" t="str">
        <f t="shared" si="6"/>
        <v>WIRELESS EARBUDS</v>
      </c>
      <c r="J99" s="3">
        <f t="shared" si="7"/>
        <v>1</v>
      </c>
      <c r="K99" s="3">
        <f t="shared" si="8"/>
        <v>323</v>
      </c>
      <c r="L99" s="4">
        <f t="shared" si="9"/>
        <v>0</v>
      </c>
      <c r="M99" s="3">
        <f t="shared" si="10"/>
        <v>323</v>
      </c>
      <c r="N99" s="3">
        <f t="shared" si="11"/>
        <v>226</v>
      </c>
      <c r="O99" s="3">
        <f t="shared" si="12"/>
        <v>97</v>
      </c>
      <c r="P99" s="3" t="str">
        <f t="shared" si="13"/>
        <v>COD</v>
      </c>
      <c r="Q99" s="3" t="str">
        <f t="shared" si="14"/>
        <v>SHIPPED</v>
      </c>
    </row>
    <row r="100">
      <c r="A100" s="1" t="s">
        <v>314</v>
      </c>
      <c r="B100" s="2">
        <f t="shared" si="1"/>
        <v>46080</v>
      </c>
      <c r="C100" s="1" t="s">
        <v>315</v>
      </c>
      <c r="D100" s="3" t="str">
        <f t="shared" si="2"/>
        <v>ABI</v>
      </c>
      <c r="E100" s="3" t="str">
        <f t="shared" si="3"/>
        <v>WEST BENGAL</v>
      </c>
      <c r="F100" s="3" t="str">
        <f t="shared" si="4"/>
        <v>KOLKATA</v>
      </c>
      <c r="G100" s="1" t="s">
        <v>316</v>
      </c>
      <c r="H100" s="3" t="str">
        <f t="shared" si="5"/>
        <v>SPORTS</v>
      </c>
      <c r="I100" s="3" t="str">
        <f t="shared" si="6"/>
        <v>FOOTBALL</v>
      </c>
      <c r="J100" s="3">
        <f t="shared" si="7"/>
        <v>1</v>
      </c>
      <c r="K100" s="3">
        <f t="shared" si="8"/>
        <v>345</v>
      </c>
      <c r="L100" s="4">
        <f t="shared" si="9"/>
        <v>0.15</v>
      </c>
      <c r="M100" s="3">
        <f t="shared" si="10"/>
        <v>293.25</v>
      </c>
      <c r="N100" s="3">
        <f t="shared" si="11"/>
        <v>205</v>
      </c>
      <c r="O100" s="3">
        <f t="shared" si="12"/>
        <v>88</v>
      </c>
      <c r="P100" s="3" t="str">
        <f t="shared" si="13"/>
        <v>NET BANKING</v>
      </c>
      <c r="Q100" s="3" t="str">
        <f t="shared" si="14"/>
        <v>CANCELLED</v>
      </c>
    </row>
    <row r="101">
      <c r="A101" s="1" t="s">
        <v>317</v>
      </c>
      <c r="B101" s="2">
        <f t="shared" si="1"/>
        <v>46154</v>
      </c>
      <c r="C101" s="1" t="s">
        <v>318</v>
      </c>
      <c r="D101" s="3" t="str">
        <f t="shared" si="2"/>
        <v>NIHAAR</v>
      </c>
      <c r="E101" s="3" t="str">
        <f t="shared" si="3"/>
        <v>MAGARASTRA</v>
      </c>
      <c r="F101" s="3" t="str">
        <f t="shared" si="4"/>
        <v>PUNE</v>
      </c>
      <c r="G101" s="1" t="s">
        <v>319</v>
      </c>
      <c r="H101" s="3" t="str">
        <f t="shared" si="5"/>
        <v>FOOD</v>
      </c>
      <c r="I101" s="3" t="str">
        <f t="shared" si="6"/>
        <v>BIRIYANI</v>
      </c>
      <c r="J101" s="3">
        <f t="shared" si="7"/>
        <v>3</v>
      </c>
      <c r="K101" s="3">
        <f t="shared" si="8"/>
        <v>269</v>
      </c>
      <c r="L101" s="4">
        <f t="shared" si="9"/>
        <v>0.1</v>
      </c>
      <c r="M101" s="3">
        <f t="shared" si="10"/>
        <v>726.3</v>
      </c>
      <c r="N101" s="3">
        <f t="shared" si="11"/>
        <v>508</v>
      </c>
      <c r="O101" s="3">
        <f t="shared" si="12"/>
        <v>218</v>
      </c>
      <c r="P101" s="3" t="str">
        <f t="shared" si="13"/>
        <v>WALLET</v>
      </c>
      <c r="Q101" s="3" t="str">
        <f t="shared" si="14"/>
        <v>RETURNED</v>
      </c>
    </row>
    <row r="102">
      <c r="A102" s="1" t="s">
        <v>320</v>
      </c>
      <c r="B102" s="2">
        <f t="shared" si="1"/>
        <v>46372</v>
      </c>
      <c r="C102" s="1" t="s">
        <v>321</v>
      </c>
      <c r="D102" s="3" t="str">
        <f t="shared" si="2"/>
        <v>SRI</v>
      </c>
      <c r="E102" s="3" t="str">
        <f t="shared" si="3"/>
        <v>TAMILNADU</v>
      </c>
      <c r="F102" s="3" t="str">
        <f t="shared" si="4"/>
        <v>THOOTHUKUDI</v>
      </c>
      <c r="G102" s="1" t="s">
        <v>322</v>
      </c>
      <c r="H102" s="3" t="str">
        <f t="shared" si="5"/>
        <v>DRESS</v>
      </c>
      <c r="I102" s="3" t="str">
        <f t="shared" si="6"/>
        <v>WOMEN WAERS</v>
      </c>
      <c r="J102" s="3">
        <f t="shared" si="7"/>
        <v>5</v>
      </c>
      <c r="K102" s="3">
        <f t="shared" si="8"/>
        <v>593</v>
      </c>
      <c r="L102" s="4">
        <f t="shared" si="9"/>
        <v>0.1</v>
      </c>
      <c r="M102" s="3">
        <f t="shared" si="10"/>
        <v>2668.5</v>
      </c>
      <c r="N102" s="3">
        <f t="shared" si="11"/>
        <v>1868</v>
      </c>
      <c r="O102" s="3">
        <f t="shared" si="12"/>
        <v>801</v>
      </c>
      <c r="P102" s="3" t="str">
        <f t="shared" si="13"/>
        <v>UPI</v>
      </c>
      <c r="Q102" s="3" t="str">
        <f t="shared" si="14"/>
        <v>DELIVERED</v>
      </c>
    </row>
    <row r="103">
      <c r="A103" s="1" t="s">
        <v>323</v>
      </c>
      <c r="B103" s="2">
        <f t="shared" si="1"/>
        <v>46064</v>
      </c>
      <c r="C103" s="1" t="s">
        <v>324</v>
      </c>
      <c r="D103" s="3" t="str">
        <f t="shared" si="2"/>
        <v>SHOBN</v>
      </c>
      <c r="E103" s="3" t="str">
        <f t="shared" si="3"/>
        <v>KERALA</v>
      </c>
      <c r="F103" s="3" t="str">
        <f t="shared" si="4"/>
        <v>KOCHI</v>
      </c>
      <c r="G103" s="1" t="s">
        <v>325</v>
      </c>
      <c r="H103" s="3" t="str">
        <f t="shared" si="5"/>
        <v>BEAUTY</v>
      </c>
      <c r="I103" s="3" t="str">
        <f t="shared" si="6"/>
        <v>KAJAL</v>
      </c>
      <c r="J103" s="3">
        <f t="shared" si="7"/>
        <v>1</v>
      </c>
      <c r="K103" s="3">
        <f t="shared" si="8"/>
        <v>484</v>
      </c>
      <c r="L103" s="4">
        <f t="shared" si="9"/>
        <v>0.1</v>
      </c>
      <c r="M103" s="3">
        <f t="shared" si="10"/>
        <v>435.6</v>
      </c>
      <c r="N103" s="3">
        <f t="shared" si="11"/>
        <v>305</v>
      </c>
      <c r="O103" s="3">
        <f t="shared" si="12"/>
        <v>131</v>
      </c>
      <c r="P103" s="3" t="str">
        <f t="shared" si="13"/>
        <v>CARD</v>
      </c>
      <c r="Q103" s="3" t="str">
        <f t="shared" si="14"/>
        <v>SHIPPED</v>
      </c>
    </row>
    <row r="104">
      <c r="A104" s="1" t="s">
        <v>326</v>
      </c>
      <c r="B104" s="2">
        <f t="shared" si="1"/>
        <v>46187</v>
      </c>
      <c r="C104" s="1" t="s">
        <v>327</v>
      </c>
      <c r="D104" s="3" t="str">
        <f t="shared" si="2"/>
        <v>SOBI</v>
      </c>
      <c r="E104" s="3" t="str">
        <f t="shared" si="3"/>
        <v>KARNATAKA</v>
      </c>
      <c r="F104" s="3" t="str">
        <f t="shared" si="4"/>
        <v>BANGALURU</v>
      </c>
      <c r="G104" s="1" t="s">
        <v>328</v>
      </c>
      <c r="H104" s="3" t="str">
        <f t="shared" si="5"/>
        <v>HOME &amp; KITCHEN</v>
      </c>
      <c r="I104" s="3" t="str">
        <f t="shared" si="6"/>
        <v>MIXER GRAINDER</v>
      </c>
      <c r="J104" s="3">
        <f t="shared" si="7"/>
        <v>4</v>
      </c>
      <c r="K104" s="3">
        <f t="shared" si="8"/>
        <v>341</v>
      </c>
      <c r="L104" s="4">
        <f t="shared" si="9"/>
        <v>0.15</v>
      </c>
      <c r="M104" s="3">
        <f t="shared" si="10"/>
        <v>1159.4</v>
      </c>
      <c r="N104" s="3">
        <f t="shared" si="11"/>
        <v>812</v>
      </c>
      <c r="O104" s="3">
        <f t="shared" si="12"/>
        <v>347</v>
      </c>
      <c r="P104" s="3" t="str">
        <f t="shared" si="13"/>
        <v>COD</v>
      </c>
      <c r="Q104" s="3" t="str">
        <f t="shared" si="14"/>
        <v>CANCELLED</v>
      </c>
    </row>
    <row r="105">
      <c r="A105" s="1" t="s">
        <v>329</v>
      </c>
      <c r="B105" s="2">
        <f t="shared" si="1"/>
        <v>46223</v>
      </c>
      <c r="C105" s="1" t="s">
        <v>330</v>
      </c>
      <c r="D105" s="3" t="str">
        <f t="shared" si="2"/>
        <v>SUJI</v>
      </c>
      <c r="E105" s="3" t="str">
        <f t="shared" si="3"/>
        <v>ANDHRA PRADESH</v>
      </c>
      <c r="F105" s="3" t="str">
        <f t="shared" si="4"/>
        <v>TIRUPATI</v>
      </c>
      <c r="G105" s="1" t="s">
        <v>331</v>
      </c>
      <c r="H105" s="3" t="str">
        <f t="shared" si="5"/>
        <v>BOOKS</v>
      </c>
      <c r="I105" s="3" t="str">
        <f t="shared" si="6"/>
        <v>LIFE OF PI</v>
      </c>
      <c r="J105" s="3">
        <f t="shared" si="7"/>
        <v>1</v>
      </c>
      <c r="K105" s="3">
        <f t="shared" si="8"/>
        <v>148</v>
      </c>
      <c r="L105" s="4">
        <f t="shared" si="9"/>
        <v>0.15</v>
      </c>
      <c r="M105" s="3">
        <f t="shared" si="10"/>
        <v>125.8</v>
      </c>
      <c r="N105" s="3">
        <f t="shared" si="11"/>
        <v>88</v>
      </c>
      <c r="O105" s="3">
        <f t="shared" si="12"/>
        <v>38</v>
      </c>
      <c r="P105" s="3" t="str">
        <f t="shared" si="13"/>
        <v>NET BANKING</v>
      </c>
      <c r="Q105" s="3" t="str">
        <f t="shared" si="14"/>
        <v>RETURNED</v>
      </c>
    </row>
    <row r="106">
      <c r="A106" s="1" t="s">
        <v>332</v>
      </c>
      <c r="B106" s="2">
        <f t="shared" si="1"/>
        <v>46070</v>
      </c>
      <c r="C106" s="1" t="s">
        <v>333</v>
      </c>
      <c r="D106" s="3" t="str">
        <f t="shared" si="2"/>
        <v>RATHA</v>
      </c>
      <c r="E106" s="3" t="str">
        <f t="shared" si="3"/>
        <v>TELUGANA</v>
      </c>
      <c r="F106" s="3" t="str">
        <f t="shared" si="4"/>
        <v>HYDERABAD</v>
      </c>
      <c r="G106" s="1" t="s">
        <v>334</v>
      </c>
      <c r="H106" s="3" t="str">
        <f t="shared" si="5"/>
        <v>ACCESSORIES</v>
      </c>
      <c r="I106" s="3" t="str">
        <f t="shared" si="6"/>
        <v>EARRINGS</v>
      </c>
      <c r="J106" s="3">
        <f t="shared" si="7"/>
        <v>5</v>
      </c>
      <c r="K106" s="3">
        <f t="shared" si="8"/>
        <v>218</v>
      </c>
      <c r="L106" s="4">
        <f t="shared" si="9"/>
        <v>0.17</v>
      </c>
      <c r="M106" s="3">
        <f t="shared" si="10"/>
        <v>904.7</v>
      </c>
      <c r="N106" s="3">
        <f t="shared" si="11"/>
        <v>633</v>
      </c>
      <c r="O106" s="3">
        <f t="shared" si="12"/>
        <v>272</v>
      </c>
      <c r="P106" s="3" t="str">
        <f t="shared" si="13"/>
        <v>WALLET</v>
      </c>
      <c r="Q106" s="3" t="str">
        <f t="shared" si="14"/>
        <v>DELIVERED</v>
      </c>
    </row>
    <row r="107">
      <c r="A107" s="1" t="s">
        <v>335</v>
      </c>
      <c r="B107" s="2">
        <f t="shared" si="1"/>
        <v>46279</v>
      </c>
      <c r="C107" s="1" t="s">
        <v>336</v>
      </c>
      <c r="D107" s="3" t="str">
        <f t="shared" si="2"/>
        <v>SUSA</v>
      </c>
      <c r="E107" s="3" t="str">
        <f t="shared" si="3"/>
        <v>UTTHRA PRADESH</v>
      </c>
      <c r="F107" s="3" t="str">
        <f t="shared" si="4"/>
        <v>LUCKNOW</v>
      </c>
      <c r="G107" s="1" t="s">
        <v>337</v>
      </c>
      <c r="H107" s="3" t="str">
        <f t="shared" si="5"/>
        <v>ELECTRONICS</v>
      </c>
      <c r="I107" s="3" t="str">
        <f t="shared" si="6"/>
        <v>WIRELESS EARBUDS</v>
      </c>
      <c r="J107" s="3">
        <f t="shared" si="7"/>
        <v>1</v>
      </c>
      <c r="K107" s="3">
        <f t="shared" si="8"/>
        <v>422</v>
      </c>
      <c r="L107" s="4">
        <f t="shared" si="9"/>
        <v>0.1</v>
      </c>
      <c r="M107" s="3">
        <f t="shared" si="10"/>
        <v>379.8</v>
      </c>
      <c r="N107" s="3">
        <f t="shared" si="11"/>
        <v>266</v>
      </c>
      <c r="O107" s="3">
        <f t="shared" si="12"/>
        <v>114</v>
      </c>
      <c r="P107" s="3" t="str">
        <f t="shared" si="13"/>
        <v>UPI</v>
      </c>
      <c r="Q107" s="3" t="str">
        <f t="shared" si="14"/>
        <v>SHIPPED</v>
      </c>
    </row>
    <row r="108">
      <c r="A108" s="1" t="s">
        <v>338</v>
      </c>
      <c r="B108" s="2">
        <f t="shared" si="1"/>
        <v>46244</v>
      </c>
      <c r="C108" s="1" t="s">
        <v>339</v>
      </c>
      <c r="D108" s="3" t="str">
        <f t="shared" si="2"/>
        <v>NIVE</v>
      </c>
      <c r="E108" s="3" t="str">
        <f t="shared" si="3"/>
        <v>GUJARAT</v>
      </c>
      <c r="F108" s="3" t="str">
        <f t="shared" si="4"/>
        <v>SURAT</v>
      </c>
      <c r="G108" s="1" t="s">
        <v>340</v>
      </c>
      <c r="H108" s="3" t="str">
        <f t="shared" si="5"/>
        <v>SPORTS</v>
      </c>
      <c r="I108" s="3" t="str">
        <f t="shared" si="6"/>
        <v>FOOTBALL</v>
      </c>
      <c r="J108" s="3">
        <f t="shared" si="7"/>
        <v>4</v>
      </c>
      <c r="K108" s="3">
        <f t="shared" si="8"/>
        <v>204</v>
      </c>
      <c r="L108" s="4">
        <f t="shared" si="9"/>
        <v>0.1</v>
      </c>
      <c r="M108" s="3">
        <f t="shared" si="10"/>
        <v>734.4</v>
      </c>
      <c r="N108" s="3">
        <f t="shared" si="11"/>
        <v>514</v>
      </c>
      <c r="O108" s="3">
        <f t="shared" si="12"/>
        <v>220</v>
      </c>
      <c r="P108" s="3" t="str">
        <f t="shared" si="13"/>
        <v>CARD</v>
      </c>
      <c r="Q108" s="3" t="str">
        <f t="shared" si="14"/>
        <v>CANCELLED</v>
      </c>
    </row>
    <row r="109">
      <c r="A109" s="1" t="s">
        <v>341</v>
      </c>
      <c r="B109" s="2">
        <f t="shared" si="1"/>
        <v>46294</v>
      </c>
      <c r="C109" s="1" t="s">
        <v>342</v>
      </c>
      <c r="D109" s="3" t="str">
        <f t="shared" si="2"/>
        <v>VINO</v>
      </c>
      <c r="E109" s="3" t="str">
        <f t="shared" si="3"/>
        <v>RAJASTHAN</v>
      </c>
      <c r="F109" s="3" t="str">
        <f t="shared" si="4"/>
        <v>JAIPUR</v>
      </c>
      <c r="G109" s="1" t="s">
        <v>343</v>
      </c>
      <c r="H109" s="3" t="str">
        <f t="shared" si="5"/>
        <v>FOOD</v>
      </c>
      <c r="I109" s="3" t="str">
        <f t="shared" si="6"/>
        <v>BIRIYANI</v>
      </c>
      <c r="J109" s="3">
        <f t="shared" si="7"/>
        <v>4</v>
      </c>
      <c r="K109" s="3">
        <f t="shared" si="8"/>
        <v>113</v>
      </c>
      <c r="L109" s="4">
        <f t="shared" si="9"/>
        <v>0.15</v>
      </c>
      <c r="M109" s="3">
        <f t="shared" si="10"/>
        <v>384.2</v>
      </c>
      <c r="N109" s="3">
        <f t="shared" si="11"/>
        <v>269</v>
      </c>
      <c r="O109" s="3">
        <f t="shared" si="12"/>
        <v>115</v>
      </c>
      <c r="P109" s="3" t="str">
        <f t="shared" si="13"/>
        <v>COD</v>
      </c>
      <c r="Q109" s="3" t="str">
        <f t="shared" si="14"/>
        <v>RETURNED</v>
      </c>
    </row>
    <row r="110">
      <c r="A110" s="1" t="s">
        <v>344</v>
      </c>
      <c r="B110" s="2">
        <f t="shared" si="1"/>
        <v>46345</v>
      </c>
      <c r="C110" s="1" t="s">
        <v>345</v>
      </c>
      <c r="D110" s="3" t="str">
        <f t="shared" si="2"/>
        <v>ABI</v>
      </c>
      <c r="E110" s="3" t="str">
        <f t="shared" si="3"/>
        <v>WEST BENGAL</v>
      </c>
      <c r="F110" s="3" t="str">
        <f t="shared" si="4"/>
        <v>KOLKATA</v>
      </c>
      <c r="G110" s="1" t="s">
        <v>346</v>
      </c>
      <c r="H110" s="3" t="str">
        <f t="shared" si="5"/>
        <v>DRESS</v>
      </c>
      <c r="I110" s="3" t="str">
        <f t="shared" si="6"/>
        <v>WOMEN WAERS</v>
      </c>
      <c r="J110" s="3">
        <f t="shared" si="7"/>
        <v>5</v>
      </c>
      <c r="K110" s="3">
        <f t="shared" si="8"/>
        <v>427</v>
      </c>
      <c r="L110" s="4">
        <f t="shared" si="9"/>
        <v>0.15</v>
      </c>
      <c r="M110" s="3">
        <f t="shared" si="10"/>
        <v>1814.75</v>
      </c>
      <c r="N110" s="3">
        <f t="shared" si="11"/>
        <v>1270</v>
      </c>
      <c r="O110" s="3">
        <f t="shared" si="12"/>
        <v>545</v>
      </c>
      <c r="P110" s="3" t="str">
        <f t="shared" si="13"/>
        <v>NET BANKING</v>
      </c>
      <c r="Q110" s="3" t="str">
        <f t="shared" si="14"/>
        <v>DELIVERED</v>
      </c>
    </row>
    <row r="111">
      <c r="A111" s="1" t="s">
        <v>347</v>
      </c>
      <c r="B111" s="2">
        <f t="shared" si="1"/>
        <v>46136</v>
      </c>
      <c r="C111" s="1" t="s">
        <v>348</v>
      </c>
      <c r="D111" s="3" t="str">
        <f t="shared" si="2"/>
        <v>NIHAAR</v>
      </c>
      <c r="E111" s="3" t="str">
        <f t="shared" si="3"/>
        <v>MAGARASTRA</v>
      </c>
      <c r="F111" s="3" t="str">
        <f t="shared" si="4"/>
        <v>PUNE</v>
      </c>
      <c r="G111" s="1" t="s">
        <v>349</v>
      </c>
      <c r="H111" s="3" t="str">
        <f t="shared" si="5"/>
        <v>BEAUTY</v>
      </c>
      <c r="I111" s="3" t="str">
        <f t="shared" si="6"/>
        <v>KAJAL</v>
      </c>
      <c r="J111" s="3">
        <f t="shared" si="7"/>
        <v>1</v>
      </c>
      <c r="K111" s="3">
        <f t="shared" si="8"/>
        <v>436</v>
      </c>
      <c r="L111" s="4">
        <f t="shared" si="9"/>
        <v>0.5</v>
      </c>
      <c r="M111" s="3">
        <f t="shared" si="10"/>
        <v>218</v>
      </c>
      <c r="N111" s="3">
        <f t="shared" si="11"/>
        <v>153</v>
      </c>
      <c r="O111" s="3">
        <f t="shared" si="12"/>
        <v>65</v>
      </c>
      <c r="P111" s="3" t="str">
        <f t="shared" si="13"/>
        <v>WALLET</v>
      </c>
      <c r="Q111" s="3" t="str">
        <f t="shared" si="14"/>
        <v>SHIPPED</v>
      </c>
    </row>
    <row r="112">
      <c r="A112" s="1" t="s">
        <v>350</v>
      </c>
      <c r="B112" s="2">
        <f t="shared" si="1"/>
        <v>46310</v>
      </c>
      <c r="C112" s="1" t="s">
        <v>351</v>
      </c>
      <c r="D112" s="3" t="str">
        <f t="shared" si="2"/>
        <v>SRI</v>
      </c>
      <c r="E112" s="3" t="str">
        <f t="shared" si="3"/>
        <v>TAMILNADU</v>
      </c>
      <c r="F112" s="3" t="str">
        <f t="shared" si="4"/>
        <v>THOOTHUKUDI</v>
      </c>
      <c r="G112" s="1" t="s">
        <v>352</v>
      </c>
      <c r="H112" s="3" t="str">
        <f t="shared" si="5"/>
        <v>HOME &amp; KITCHEN</v>
      </c>
      <c r="I112" s="3" t="str">
        <f t="shared" si="6"/>
        <v>MIXER GRAINDER</v>
      </c>
      <c r="J112" s="3">
        <f t="shared" si="7"/>
        <v>1</v>
      </c>
      <c r="K112" s="3">
        <f t="shared" si="8"/>
        <v>328</v>
      </c>
      <c r="L112" s="4">
        <f t="shared" si="9"/>
        <v>0</v>
      </c>
      <c r="M112" s="3">
        <f t="shared" si="10"/>
        <v>328</v>
      </c>
      <c r="N112" s="3">
        <f t="shared" si="11"/>
        <v>230</v>
      </c>
      <c r="O112" s="3">
        <f t="shared" si="12"/>
        <v>98</v>
      </c>
      <c r="P112" s="3" t="str">
        <f t="shared" si="13"/>
        <v>UPI</v>
      </c>
      <c r="Q112" s="3" t="str">
        <f t="shared" si="14"/>
        <v>CANCELLED</v>
      </c>
    </row>
    <row r="113">
      <c r="A113" s="1" t="s">
        <v>353</v>
      </c>
      <c r="B113" s="2">
        <f t="shared" si="1"/>
        <v>46344</v>
      </c>
      <c r="C113" s="1" t="s">
        <v>354</v>
      </c>
      <c r="D113" s="3" t="str">
        <f t="shared" si="2"/>
        <v>SHOBN</v>
      </c>
      <c r="E113" s="3" t="str">
        <f t="shared" si="3"/>
        <v>KERALA</v>
      </c>
      <c r="F113" s="3" t="str">
        <f t="shared" si="4"/>
        <v>KOCHI</v>
      </c>
      <c r="G113" s="1" t="s">
        <v>355</v>
      </c>
      <c r="H113" s="3" t="str">
        <f t="shared" si="5"/>
        <v>BOOKS</v>
      </c>
      <c r="I113" s="3" t="str">
        <f t="shared" si="6"/>
        <v>LIFE OF PI</v>
      </c>
      <c r="J113" s="3">
        <f t="shared" si="7"/>
        <v>2</v>
      </c>
      <c r="K113" s="3">
        <f t="shared" si="8"/>
        <v>562</v>
      </c>
      <c r="L113" s="4">
        <f t="shared" si="9"/>
        <v>0</v>
      </c>
      <c r="M113" s="3">
        <f t="shared" si="10"/>
        <v>1124</v>
      </c>
      <c r="N113" s="3">
        <f t="shared" si="11"/>
        <v>787</v>
      </c>
      <c r="O113" s="3">
        <f t="shared" si="12"/>
        <v>337</v>
      </c>
      <c r="P113" s="3" t="str">
        <f t="shared" si="13"/>
        <v>CARD</v>
      </c>
      <c r="Q113" s="3" t="str">
        <f t="shared" si="14"/>
        <v>RETURNED</v>
      </c>
    </row>
    <row r="114">
      <c r="A114" s="1" t="s">
        <v>356</v>
      </c>
      <c r="B114" s="2">
        <f t="shared" si="1"/>
        <v>46038</v>
      </c>
      <c r="C114" s="1" t="s">
        <v>357</v>
      </c>
      <c r="D114" s="3" t="str">
        <f t="shared" si="2"/>
        <v>SOBI</v>
      </c>
      <c r="E114" s="3" t="str">
        <f t="shared" si="3"/>
        <v>KARNATAKA</v>
      </c>
      <c r="F114" s="3" t="str">
        <f t="shared" si="4"/>
        <v>BANGALURU</v>
      </c>
      <c r="G114" s="1" t="s">
        <v>358</v>
      </c>
      <c r="H114" s="3" t="str">
        <f t="shared" si="5"/>
        <v>ACCESSORIES</v>
      </c>
      <c r="I114" s="3" t="str">
        <f t="shared" si="6"/>
        <v>EARRINGS</v>
      </c>
      <c r="J114" s="3">
        <f t="shared" si="7"/>
        <v>1</v>
      </c>
      <c r="K114" s="3">
        <f t="shared" si="8"/>
        <v>496</v>
      </c>
      <c r="L114" s="4">
        <f t="shared" si="9"/>
        <v>0.2</v>
      </c>
      <c r="M114" s="3">
        <f t="shared" si="10"/>
        <v>396.8</v>
      </c>
      <c r="N114" s="3">
        <f t="shared" si="11"/>
        <v>278</v>
      </c>
      <c r="O114" s="3">
        <f t="shared" si="12"/>
        <v>119</v>
      </c>
      <c r="P114" s="3" t="str">
        <f t="shared" si="13"/>
        <v>COD</v>
      </c>
      <c r="Q114" s="3" t="str">
        <f t="shared" si="14"/>
        <v>DELIVERED</v>
      </c>
    </row>
    <row r="115">
      <c r="A115" s="1" t="s">
        <v>359</v>
      </c>
      <c r="B115" s="2">
        <f t="shared" si="1"/>
        <v>46199</v>
      </c>
      <c r="C115" s="1" t="s">
        <v>360</v>
      </c>
      <c r="D115" s="3" t="str">
        <f t="shared" si="2"/>
        <v>SUJI</v>
      </c>
      <c r="E115" s="3" t="str">
        <f t="shared" si="3"/>
        <v>ANDHRA PRADESH</v>
      </c>
      <c r="F115" s="3" t="str">
        <f t="shared" si="4"/>
        <v>TIRUPATI</v>
      </c>
      <c r="G115" s="1" t="s">
        <v>361</v>
      </c>
      <c r="H115" s="3" t="str">
        <f t="shared" si="5"/>
        <v>ELECTRONICS</v>
      </c>
      <c r="I115" s="3" t="str">
        <f t="shared" si="6"/>
        <v>WIRELESS EARBUDS</v>
      </c>
      <c r="J115" s="3">
        <f t="shared" si="7"/>
        <v>1</v>
      </c>
      <c r="K115" s="3">
        <f t="shared" si="8"/>
        <v>164</v>
      </c>
      <c r="L115" s="4">
        <f t="shared" si="9"/>
        <v>0.2</v>
      </c>
      <c r="M115" s="3">
        <f t="shared" si="10"/>
        <v>131.2</v>
      </c>
      <c r="N115" s="3">
        <f t="shared" si="11"/>
        <v>92</v>
      </c>
      <c r="O115" s="3">
        <f t="shared" si="12"/>
        <v>39</v>
      </c>
      <c r="P115" s="3" t="str">
        <f t="shared" si="13"/>
        <v>NET BANKING</v>
      </c>
      <c r="Q115" s="3" t="str">
        <f t="shared" si="14"/>
        <v>SHIPPED</v>
      </c>
    </row>
    <row r="116">
      <c r="A116" s="1" t="s">
        <v>362</v>
      </c>
      <c r="B116" s="2">
        <f t="shared" si="1"/>
        <v>46057</v>
      </c>
      <c r="C116" s="1" t="s">
        <v>363</v>
      </c>
      <c r="D116" s="3" t="str">
        <f t="shared" si="2"/>
        <v>RATHA</v>
      </c>
      <c r="E116" s="3" t="str">
        <f t="shared" si="3"/>
        <v>TELUGANA</v>
      </c>
      <c r="F116" s="3" t="str">
        <f t="shared" si="4"/>
        <v>HYDERABAD</v>
      </c>
      <c r="G116" s="1" t="s">
        <v>364</v>
      </c>
      <c r="H116" s="3" t="str">
        <f t="shared" si="5"/>
        <v>SPORTS</v>
      </c>
      <c r="I116" s="3" t="str">
        <f t="shared" si="6"/>
        <v>FOOTBALL</v>
      </c>
      <c r="J116" s="3">
        <f t="shared" si="7"/>
        <v>4</v>
      </c>
      <c r="K116" s="3">
        <f t="shared" si="8"/>
        <v>505</v>
      </c>
      <c r="L116" s="4">
        <f t="shared" si="9"/>
        <v>0.17</v>
      </c>
      <c r="M116" s="3">
        <f t="shared" si="10"/>
        <v>1676.6</v>
      </c>
      <c r="N116" s="3">
        <f t="shared" si="11"/>
        <v>1174</v>
      </c>
      <c r="O116" s="3">
        <f t="shared" si="12"/>
        <v>503</v>
      </c>
      <c r="P116" s="3" t="str">
        <f t="shared" si="13"/>
        <v>WALLET</v>
      </c>
      <c r="Q116" s="3" t="str">
        <f t="shared" si="14"/>
        <v>CANCELLED</v>
      </c>
    </row>
    <row r="117">
      <c r="A117" s="1" t="s">
        <v>365</v>
      </c>
      <c r="B117" s="2">
        <f t="shared" si="1"/>
        <v>46047</v>
      </c>
      <c r="C117" s="1" t="s">
        <v>366</v>
      </c>
      <c r="D117" s="3" t="str">
        <f t="shared" si="2"/>
        <v>SUSA</v>
      </c>
      <c r="E117" s="3" t="str">
        <f t="shared" si="3"/>
        <v>UTTHRA PRADESH</v>
      </c>
      <c r="F117" s="3" t="str">
        <f t="shared" si="4"/>
        <v>LUCKNOW</v>
      </c>
      <c r="G117" s="1" t="s">
        <v>367</v>
      </c>
      <c r="H117" s="3" t="str">
        <f t="shared" si="5"/>
        <v>FOOD</v>
      </c>
      <c r="I117" s="3" t="str">
        <f t="shared" si="6"/>
        <v>BIRIYANI</v>
      </c>
      <c r="J117" s="3">
        <f t="shared" si="7"/>
        <v>4</v>
      </c>
      <c r="K117" s="3">
        <f t="shared" si="8"/>
        <v>437</v>
      </c>
      <c r="L117" s="4">
        <f t="shared" si="9"/>
        <v>0.17</v>
      </c>
      <c r="M117" s="3">
        <f t="shared" si="10"/>
        <v>1450.84</v>
      </c>
      <c r="N117" s="3">
        <f t="shared" si="11"/>
        <v>1016</v>
      </c>
      <c r="O117" s="3">
        <f t="shared" si="12"/>
        <v>435</v>
      </c>
      <c r="P117" s="3" t="str">
        <f t="shared" si="13"/>
        <v>UPI</v>
      </c>
      <c r="Q117" s="3" t="str">
        <f t="shared" si="14"/>
        <v>RETURNED</v>
      </c>
    </row>
    <row r="118">
      <c r="A118" s="1" t="s">
        <v>368</v>
      </c>
      <c r="B118" s="2">
        <f t="shared" si="1"/>
        <v>46280</v>
      </c>
      <c r="C118" s="1" t="s">
        <v>369</v>
      </c>
      <c r="D118" s="3" t="str">
        <f t="shared" si="2"/>
        <v>NIVE</v>
      </c>
      <c r="E118" s="3" t="str">
        <f t="shared" si="3"/>
        <v>GUJARAT</v>
      </c>
      <c r="F118" s="3" t="str">
        <f t="shared" si="4"/>
        <v>SURAT</v>
      </c>
      <c r="G118" s="1" t="s">
        <v>370</v>
      </c>
      <c r="H118" s="3" t="str">
        <f t="shared" si="5"/>
        <v>DRESS</v>
      </c>
      <c r="I118" s="3" t="str">
        <f t="shared" si="6"/>
        <v>WOMEN WAERS</v>
      </c>
      <c r="J118" s="3">
        <f t="shared" si="7"/>
        <v>2</v>
      </c>
      <c r="K118" s="3">
        <f t="shared" si="8"/>
        <v>574</v>
      </c>
      <c r="L118" s="4">
        <f t="shared" si="9"/>
        <v>0.2</v>
      </c>
      <c r="M118" s="3">
        <f t="shared" si="10"/>
        <v>918.4</v>
      </c>
      <c r="N118" s="3">
        <f t="shared" si="11"/>
        <v>643</v>
      </c>
      <c r="O118" s="3">
        <f t="shared" si="12"/>
        <v>275</v>
      </c>
      <c r="P118" s="3" t="str">
        <f t="shared" si="13"/>
        <v>CARD</v>
      </c>
      <c r="Q118" s="3" t="str">
        <f t="shared" si="14"/>
        <v>DELIVERED</v>
      </c>
    </row>
    <row r="119">
      <c r="A119" s="1" t="s">
        <v>371</v>
      </c>
      <c r="B119" s="2">
        <f t="shared" si="1"/>
        <v>46302</v>
      </c>
      <c r="C119" s="1" t="s">
        <v>372</v>
      </c>
      <c r="D119" s="3" t="str">
        <f t="shared" si="2"/>
        <v>VINO</v>
      </c>
      <c r="E119" s="3" t="str">
        <f t="shared" si="3"/>
        <v>RAJASTHAN</v>
      </c>
      <c r="F119" s="3" t="str">
        <f t="shared" si="4"/>
        <v>JAIPUR</v>
      </c>
      <c r="G119" s="1" t="s">
        <v>373</v>
      </c>
      <c r="H119" s="3" t="str">
        <f t="shared" si="5"/>
        <v>BEAUTY</v>
      </c>
      <c r="I119" s="3" t="str">
        <f t="shared" si="6"/>
        <v>KAJAL</v>
      </c>
      <c r="J119" s="3">
        <f t="shared" si="7"/>
        <v>2</v>
      </c>
      <c r="K119" s="3">
        <f t="shared" si="8"/>
        <v>258</v>
      </c>
      <c r="L119" s="4">
        <f t="shared" si="9"/>
        <v>0.2</v>
      </c>
      <c r="M119" s="3">
        <f t="shared" si="10"/>
        <v>412.8</v>
      </c>
      <c r="N119" s="3">
        <f t="shared" si="11"/>
        <v>289</v>
      </c>
      <c r="O119" s="3">
        <f t="shared" si="12"/>
        <v>124</v>
      </c>
      <c r="P119" s="3" t="str">
        <f t="shared" si="13"/>
        <v>COD</v>
      </c>
      <c r="Q119" s="3" t="str">
        <f t="shared" si="14"/>
        <v>SHIPPED</v>
      </c>
    </row>
    <row r="120">
      <c r="A120" s="1" t="s">
        <v>374</v>
      </c>
      <c r="B120" s="2">
        <f t="shared" si="1"/>
        <v>46069</v>
      </c>
      <c r="C120" s="1" t="s">
        <v>375</v>
      </c>
      <c r="D120" s="3" t="str">
        <f t="shared" si="2"/>
        <v>ABI</v>
      </c>
      <c r="E120" s="3" t="str">
        <f t="shared" si="3"/>
        <v>WEST BENGAL</v>
      </c>
      <c r="F120" s="3" t="str">
        <f t="shared" si="4"/>
        <v>KOLKATA</v>
      </c>
      <c r="G120" s="1" t="s">
        <v>376</v>
      </c>
      <c r="H120" s="3" t="str">
        <f t="shared" si="5"/>
        <v>HOME &amp; KITCHEN</v>
      </c>
      <c r="I120" s="3" t="str">
        <f t="shared" si="6"/>
        <v>MIXER GRAINDER</v>
      </c>
      <c r="J120" s="3">
        <f t="shared" si="7"/>
        <v>4</v>
      </c>
      <c r="K120" s="3">
        <f t="shared" si="8"/>
        <v>237</v>
      </c>
      <c r="L120" s="4">
        <f t="shared" si="9"/>
        <v>0.5</v>
      </c>
      <c r="M120" s="3">
        <f t="shared" si="10"/>
        <v>474</v>
      </c>
      <c r="N120" s="3">
        <f t="shared" si="11"/>
        <v>332</v>
      </c>
      <c r="O120" s="3">
        <f t="shared" si="12"/>
        <v>142</v>
      </c>
      <c r="P120" s="3" t="str">
        <f t="shared" si="13"/>
        <v>NET BANKING</v>
      </c>
      <c r="Q120" s="3" t="str">
        <f t="shared" si="14"/>
        <v>CANCELLED</v>
      </c>
    </row>
    <row r="121">
      <c r="A121" s="1" t="s">
        <v>377</v>
      </c>
      <c r="B121" s="2">
        <f t="shared" si="1"/>
        <v>46308</v>
      </c>
      <c r="C121" s="1" t="s">
        <v>378</v>
      </c>
      <c r="D121" s="3" t="str">
        <f t="shared" si="2"/>
        <v>NIHAAR</v>
      </c>
      <c r="E121" s="3" t="str">
        <f t="shared" si="3"/>
        <v>MAGARASTRA</v>
      </c>
      <c r="F121" s="3" t="str">
        <f t="shared" si="4"/>
        <v>PUNE</v>
      </c>
      <c r="G121" s="1" t="s">
        <v>379</v>
      </c>
      <c r="H121" s="3" t="str">
        <f t="shared" si="5"/>
        <v>BOOKS</v>
      </c>
      <c r="I121" s="3" t="str">
        <f t="shared" si="6"/>
        <v>LIFE OF PI</v>
      </c>
      <c r="J121" s="3">
        <f t="shared" si="7"/>
        <v>5</v>
      </c>
      <c r="K121" s="3">
        <f t="shared" si="8"/>
        <v>245</v>
      </c>
      <c r="L121" s="4">
        <f t="shared" si="9"/>
        <v>0.2</v>
      </c>
      <c r="M121" s="3">
        <f t="shared" si="10"/>
        <v>980</v>
      </c>
      <c r="N121" s="3">
        <f t="shared" si="11"/>
        <v>686</v>
      </c>
      <c r="O121" s="3">
        <f t="shared" si="12"/>
        <v>294</v>
      </c>
      <c r="P121" s="3" t="str">
        <f t="shared" si="13"/>
        <v>WALLET</v>
      </c>
      <c r="Q121" s="3" t="str">
        <f t="shared" si="14"/>
        <v>RETURNED</v>
      </c>
    </row>
    <row r="122">
      <c r="A122" s="1" t="s">
        <v>380</v>
      </c>
      <c r="B122" s="2">
        <f t="shared" si="1"/>
        <v>46126</v>
      </c>
      <c r="C122" s="1" t="s">
        <v>381</v>
      </c>
      <c r="D122" s="3" t="str">
        <f t="shared" si="2"/>
        <v>SRI</v>
      </c>
      <c r="E122" s="3" t="str">
        <f t="shared" si="3"/>
        <v>TAMILNADU</v>
      </c>
      <c r="F122" s="3" t="str">
        <f t="shared" si="4"/>
        <v>THOOTHUKUDI</v>
      </c>
      <c r="G122" s="1" t="s">
        <v>382</v>
      </c>
      <c r="H122" s="3" t="str">
        <f t="shared" si="5"/>
        <v>ACCESSORIES</v>
      </c>
      <c r="I122" s="3" t="str">
        <f t="shared" si="6"/>
        <v>EARRINGS</v>
      </c>
      <c r="J122" s="3">
        <f t="shared" si="7"/>
        <v>4</v>
      </c>
      <c r="K122" s="3">
        <f t="shared" si="8"/>
        <v>275</v>
      </c>
      <c r="L122" s="4">
        <f t="shared" si="9"/>
        <v>0.15</v>
      </c>
      <c r="M122" s="3">
        <f t="shared" si="10"/>
        <v>935</v>
      </c>
      <c r="N122" s="3">
        <f t="shared" si="11"/>
        <v>655</v>
      </c>
      <c r="O122" s="3">
        <f t="shared" si="12"/>
        <v>280</v>
      </c>
      <c r="P122" s="3" t="str">
        <f t="shared" si="13"/>
        <v>UPI</v>
      </c>
      <c r="Q122" s="3" t="str">
        <f t="shared" si="14"/>
        <v>DELIVERED</v>
      </c>
    </row>
    <row r="123">
      <c r="A123" s="1" t="s">
        <v>383</v>
      </c>
      <c r="B123" s="2">
        <f t="shared" si="1"/>
        <v>46170</v>
      </c>
      <c r="C123" s="1" t="s">
        <v>384</v>
      </c>
      <c r="D123" s="3" t="str">
        <f t="shared" si="2"/>
        <v>SHOBN</v>
      </c>
      <c r="E123" s="3" t="str">
        <f t="shared" si="3"/>
        <v>KERALA</v>
      </c>
      <c r="F123" s="3" t="str">
        <f t="shared" si="4"/>
        <v>KOCHI</v>
      </c>
      <c r="G123" s="1" t="s">
        <v>385</v>
      </c>
      <c r="H123" s="3" t="str">
        <f t="shared" si="5"/>
        <v>ELECTRONICS</v>
      </c>
      <c r="I123" s="3" t="str">
        <f t="shared" si="6"/>
        <v>WIRELESS EARBUDS</v>
      </c>
      <c r="J123" s="3">
        <f t="shared" si="7"/>
        <v>1</v>
      </c>
      <c r="K123" s="3">
        <f t="shared" si="8"/>
        <v>369</v>
      </c>
      <c r="L123" s="4">
        <f t="shared" si="9"/>
        <v>0.15</v>
      </c>
      <c r="M123" s="3">
        <f t="shared" si="10"/>
        <v>313.65</v>
      </c>
      <c r="N123" s="3">
        <f t="shared" si="11"/>
        <v>220</v>
      </c>
      <c r="O123" s="3">
        <f t="shared" si="12"/>
        <v>94</v>
      </c>
      <c r="P123" s="3" t="str">
        <f t="shared" si="13"/>
        <v>CARD</v>
      </c>
      <c r="Q123" s="3" t="str">
        <f t="shared" si="14"/>
        <v>SHIPPED</v>
      </c>
    </row>
    <row r="124">
      <c r="A124" s="1" t="s">
        <v>386</v>
      </c>
      <c r="B124" s="2">
        <f t="shared" si="1"/>
        <v>46131</v>
      </c>
      <c r="C124" s="1" t="s">
        <v>387</v>
      </c>
      <c r="D124" s="3" t="str">
        <f t="shared" si="2"/>
        <v>SOBI</v>
      </c>
      <c r="E124" s="3" t="str">
        <f t="shared" si="3"/>
        <v>KARNATAKA</v>
      </c>
      <c r="F124" s="3" t="str">
        <f t="shared" si="4"/>
        <v>BANGALURU</v>
      </c>
      <c r="G124" s="1" t="s">
        <v>388</v>
      </c>
      <c r="H124" s="3" t="str">
        <f t="shared" si="5"/>
        <v>SPORTS</v>
      </c>
      <c r="I124" s="3" t="str">
        <f t="shared" si="6"/>
        <v>FOOTBALL</v>
      </c>
      <c r="J124" s="3">
        <f t="shared" si="7"/>
        <v>2</v>
      </c>
      <c r="K124" s="3">
        <f t="shared" si="8"/>
        <v>488</v>
      </c>
      <c r="L124" s="4">
        <f t="shared" si="9"/>
        <v>0.5</v>
      </c>
      <c r="M124" s="3">
        <f t="shared" si="10"/>
        <v>488</v>
      </c>
      <c r="N124" s="3">
        <f t="shared" si="11"/>
        <v>342</v>
      </c>
      <c r="O124" s="3">
        <f t="shared" si="12"/>
        <v>146</v>
      </c>
      <c r="P124" s="3" t="str">
        <f t="shared" si="13"/>
        <v>COD</v>
      </c>
      <c r="Q124" s="3" t="str">
        <f t="shared" si="14"/>
        <v>CANCELLED</v>
      </c>
    </row>
    <row r="125">
      <c r="A125" s="1" t="s">
        <v>389</v>
      </c>
      <c r="B125" s="2">
        <f t="shared" si="1"/>
        <v>46097</v>
      </c>
      <c r="C125" s="1" t="s">
        <v>390</v>
      </c>
      <c r="D125" s="3" t="str">
        <f t="shared" si="2"/>
        <v>SUJI</v>
      </c>
      <c r="E125" s="3" t="str">
        <f t="shared" si="3"/>
        <v>ANDHRA PRADESH</v>
      </c>
      <c r="F125" s="3" t="str">
        <f t="shared" si="4"/>
        <v>TIRUPATI</v>
      </c>
      <c r="G125" s="1" t="s">
        <v>391</v>
      </c>
      <c r="H125" s="3" t="str">
        <f t="shared" si="5"/>
        <v>FOOD</v>
      </c>
      <c r="I125" s="3" t="str">
        <f t="shared" si="6"/>
        <v>BIRIYANI</v>
      </c>
      <c r="J125" s="3">
        <f t="shared" si="7"/>
        <v>1</v>
      </c>
      <c r="K125" s="3">
        <f t="shared" si="8"/>
        <v>430</v>
      </c>
      <c r="L125" s="4">
        <f t="shared" si="9"/>
        <v>0.17</v>
      </c>
      <c r="M125" s="3">
        <f t="shared" si="10"/>
        <v>356.9</v>
      </c>
      <c r="N125" s="3">
        <f t="shared" si="11"/>
        <v>250</v>
      </c>
      <c r="O125" s="3">
        <f t="shared" si="12"/>
        <v>107</v>
      </c>
      <c r="P125" s="3" t="str">
        <f t="shared" si="13"/>
        <v>NET BANKING</v>
      </c>
      <c r="Q125" s="3" t="str">
        <f t="shared" si="14"/>
        <v>RETURNED</v>
      </c>
    </row>
    <row r="126">
      <c r="A126" s="1" t="s">
        <v>392</v>
      </c>
      <c r="B126" s="2">
        <f t="shared" si="1"/>
        <v>46306</v>
      </c>
      <c r="C126" s="1" t="s">
        <v>393</v>
      </c>
      <c r="D126" s="3" t="str">
        <f t="shared" si="2"/>
        <v>RATHA</v>
      </c>
      <c r="E126" s="3" t="str">
        <f t="shared" si="3"/>
        <v>TELUGANA</v>
      </c>
      <c r="F126" s="3" t="str">
        <f t="shared" si="4"/>
        <v>HYDERABAD</v>
      </c>
      <c r="G126" s="1" t="s">
        <v>394</v>
      </c>
      <c r="H126" s="3" t="str">
        <f t="shared" si="5"/>
        <v>DRESS</v>
      </c>
      <c r="I126" s="3" t="str">
        <f t="shared" si="6"/>
        <v>WOMEN WAERS</v>
      </c>
      <c r="J126" s="3">
        <f t="shared" si="7"/>
        <v>3</v>
      </c>
      <c r="K126" s="3">
        <f t="shared" si="8"/>
        <v>200</v>
      </c>
      <c r="L126" s="4">
        <f t="shared" si="9"/>
        <v>0</v>
      </c>
      <c r="M126" s="3">
        <f t="shared" si="10"/>
        <v>600</v>
      </c>
      <c r="N126" s="3">
        <f t="shared" si="11"/>
        <v>420</v>
      </c>
      <c r="O126" s="3">
        <f t="shared" si="12"/>
        <v>180</v>
      </c>
      <c r="P126" s="3" t="str">
        <f t="shared" si="13"/>
        <v>WALLET</v>
      </c>
      <c r="Q126" s="3" t="str">
        <f t="shared" si="14"/>
        <v>DELIVERED</v>
      </c>
    </row>
    <row r="127">
      <c r="A127" s="1" t="s">
        <v>395</v>
      </c>
      <c r="B127" s="2">
        <f t="shared" si="1"/>
        <v>46181</v>
      </c>
      <c r="C127" s="1" t="s">
        <v>396</v>
      </c>
      <c r="D127" s="3" t="str">
        <f t="shared" si="2"/>
        <v>SUSA</v>
      </c>
      <c r="E127" s="3" t="str">
        <f t="shared" si="3"/>
        <v>UTTHRA PRADESH</v>
      </c>
      <c r="F127" s="3" t="str">
        <f t="shared" si="4"/>
        <v>LUCKNOW</v>
      </c>
      <c r="G127" s="1" t="s">
        <v>397</v>
      </c>
      <c r="H127" s="3" t="str">
        <f t="shared" si="5"/>
        <v>BEAUTY</v>
      </c>
      <c r="I127" s="3" t="str">
        <f t="shared" si="6"/>
        <v>KAJAL</v>
      </c>
      <c r="J127" s="3">
        <f t="shared" si="7"/>
        <v>1</v>
      </c>
      <c r="K127" s="3">
        <f t="shared" si="8"/>
        <v>537</v>
      </c>
      <c r="L127" s="4">
        <f t="shared" si="9"/>
        <v>0.15</v>
      </c>
      <c r="M127" s="3">
        <f t="shared" si="10"/>
        <v>456.45</v>
      </c>
      <c r="N127" s="3">
        <f t="shared" si="11"/>
        <v>320</v>
      </c>
      <c r="O127" s="3">
        <f t="shared" si="12"/>
        <v>136</v>
      </c>
      <c r="P127" s="3" t="str">
        <f t="shared" si="13"/>
        <v>UPI</v>
      </c>
      <c r="Q127" s="3" t="str">
        <f t="shared" si="14"/>
        <v>SHIPPED</v>
      </c>
    </row>
    <row r="128">
      <c r="A128" s="1" t="s">
        <v>398</v>
      </c>
      <c r="B128" s="2">
        <f t="shared" si="1"/>
        <v>46115</v>
      </c>
      <c r="C128" s="1" t="s">
        <v>399</v>
      </c>
      <c r="D128" s="3" t="str">
        <f t="shared" si="2"/>
        <v>NIVE</v>
      </c>
      <c r="E128" s="3" t="str">
        <f t="shared" si="3"/>
        <v>GUJARAT</v>
      </c>
      <c r="F128" s="3" t="str">
        <f t="shared" si="4"/>
        <v>SURAT</v>
      </c>
      <c r="G128" s="1" t="s">
        <v>400</v>
      </c>
      <c r="H128" s="3" t="str">
        <f t="shared" si="5"/>
        <v>HOME &amp; KITCHEN</v>
      </c>
      <c r="I128" s="3" t="str">
        <f t="shared" si="6"/>
        <v>MIXER GRAINDER</v>
      </c>
      <c r="J128" s="3">
        <f t="shared" si="7"/>
        <v>2</v>
      </c>
      <c r="K128" s="3">
        <f t="shared" si="8"/>
        <v>372</v>
      </c>
      <c r="L128" s="4">
        <f t="shared" si="9"/>
        <v>0.17</v>
      </c>
      <c r="M128" s="3">
        <f t="shared" si="10"/>
        <v>617.52</v>
      </c>
      <c r="N128" s="3">
        <f t="shared" si="11"/>
        <v>432</v>
      </c>
      <c r="O128" s="3">
        <f t="shared" si="12"/>
        <v>186</v>
      </c>
      <c r="P128" s="3" t="str">
        <f t="shared" si="13"/>
        <v>CARD</v>
      </c>
      <c r="Q128" s="3" t="str">
        <f t="shared" si="14"/>
        <v>CANCELLED</v>
      </c>
    </row>
    <row r="129">
      <c r="A129" s="1" t="s">
        <v>401</v>
      </c>
      <c r="B129" s="2">
        <f t="shared" si="1"/>
        <v>46118</v>
      </c>
      <c r="C129" s="1" t="s">
        <v>402</v>
      </c>
      <c r="D129" s="3" t="str">
        <f t="shared" si="2"/>
        <v>VINO</v>
      </c>
      <c r="E129" s="3" t="str">
        <f t="shared" si="3"/>
        <v>RAJASTHAN</v>
      </c>
      <c r="F129" s="3" t="str">
        <f t="shared" si="4"/>
        <v>JAIPUR</v>
      </c>
      <c r="G129" s="1" t="s">
        <v>403</v>
      </c>
      <c r="H129" s="3" t="str">
        <f t="shared" si="5"/>
        <v>BOOKS</v>
      </c>
      <c r="I129" s="3" t="str">
        <f t="shared" si="6"/>
        <v>LIFE OF PI</v>
      </c>
      <c r="J129" s="3">
        <f t="shared" si="7"/>
        <v>5</v>
      </c>
      <c r="K129" s="3">
        <f t="shared" si="8"/>
        <v>287</v>
      </c>
      <c r="L129" s="4">
        <f t="shared" si="9"/>
        <v>0</v>
      </c>
      <c r="M129" s="3">
        <f t="shared" si="10"/>
        <v>1435</v>
      </c>
      <c r="N129" s="3">
        <f t="shared" si="11"/>
        <v>1005</v>
      </c>
      <c r="O129" s="3">
        <f t="shared" si="12"/>
        <v>430</v>
      </c>
      <c r="P129" s="3" t="str">
        <f t="shared" si="13"/>
        <v>COD</v>
      </c>
      <c r="Q129" s="3" t="str">
        <f t="shared" si="14"/>
        <v>RETURNED</v>
      </c>
    </row>
    <row r="130">
      <c r="A130" s="1" t="s">
        <v>404</v>
      </c>
      <c r="B130" s="2">
        <f t="shared" si="1"/>
        <v>46328</v>
      </c>
      <c r="C130" s="1" t="s">
        <v>405</v>
      </c>
      <c r="D130" s="3" t="str">
        <f t="shared" si="2"/>
        <v>ABI</v>
      </c>
      <c r="E130" s="3" t="str">
        <f t="shared" si="3"/>
        <v>WEST BENGAL</v>
      </c>
      <c r="F130" s="3" t="str">
        <f t="shared" si="4"/>
        <v>KOLKATA</v>
      </c>
      <c r="G130" s="1" t="s">
        <v>406</v>
      </c>
      <c r="H130" s="3" t="str">
        <f t="shared" si="5"/>
        <v>ACCESSORIES</v>
      </c>
      <c r="I130" s="3" t="str">
        <f t="shared" si="6"/>
        <v>EARRINGS</v>
      </c>
      <c r="J130" s="3">
        <f t="shared" si="7"/>
        <v>3</v>
      </c>
      <c r="K130" s="3">
        <f t="shared" si="8"/>
        <v>432</v>
      </c>
      <c r="L130" s="4">
        <f t="shared" si="9"/>
        <v>0.15</v>
      </c>
      <c r="M130" s="3">
        <f t="shared" si="10"/>
        <v>1101.6</v>
      </c>
      <c r="N130" s="3">
        <f t="shared" si="11"/>
        <v>771</v>
      </c>
      <c r="O130" s="3">
        <f t="shared" si="12"/>
        <v>331</v>
      </c>
      <c r="P130" s="3" t="str">
        <f t="shared" si="13"/>
        <v>NET BANKING</v>
      </c>
      <c r="Q130" s="3" t="str">
        <f t="shared" si="14"/>
        <v>DELIVERED</v>
      </c>
    </row>
    <row r="131">
      <c r="A131" s="1" t="s">
        <v>407</v>
      </c>
      <c r="B131" s="2">
        <f t="shared" si="1"/>
        <v>46317</v>
      </c>
      <c r="C131" s="1" t="s">
        <v>408</v>
      </c>
      <c r="D131" s="3" t="str">
        <f t="shared" si="2"/>
        <v>NIHAAR</v>
      </c>
      <c r="E131" s="3" t="str">
        <f t="shared" si="3"/>
        <v>MAGARASTRA</v>
      </c>
      <c r="F131" s="3" t="str">
        <f t="shared" si="4"/>
        <v>PUNE</v>
      </c>
      <c r="G131" s="1" t="s">
        <v>409</v>
      </c>
      <c r="H131" s="3" t="str">
        <f t="shared" si="5"/>
        <v>ELECTRONICS</v>
      </c>
      <c r="I131" s="3" t="str">
        <f t="shared" si="6"/>
        <v>WIRELESS EARBUDS</v>
      </c>
      <c r="J131" s="3">
        <f t="shared" si="7"/>
        <v>3</v>
      </c>
      <c r="K131" s="3">
        <f t="shared" si="8"/>
        <v>273</v>
      </c>
      <c r="L131" s="4">
        <f t="shared" si="9"/>
        <v>0.2</v>
      </c>
      <c r="M131" s="3">
        <f t="shared" si="10"/>
        <v>655.2</v>
      </c>
      <c r="N131" s="3">
        <f t="shared" si="11"/>
        <v>459</v>
      </c>
      <c r="O131" s="3">
        <f t="shared" si="12"/>
        <v>196</v>
      </c>
      <c r="P131" s="3" t="str">
        <f t="shared" si="13"/>
        <v>WALLET</v>
      </c>
      <c r="Q131" s="3" t="str">
        <f t="shared" si="14"/>
        <v>SHIPPED</v>
      </c>
    </row>
    <row r="132">
      <c r="A132" s="1" t="s">
        <v>410</v>
      </c>
      <c r="B132" s="2">
        <f t="shared" si="1"/>
        <v>46066</v>
      </c>
      <c r="C132" s="1" t="s">
        <v>411</v>
      </c>
      <c r="D132" s="3" t="str">
        <f t="shared" si="2"/>
        <v>SRI</v>
      </c>
      <c r="E132" s="3" t="str">
        <f t="shared" si="3"/>
        <v>TAMILNADU</v>
      </c>
      <c r="F132" s="3" t="str">
        <f t="shared" si="4"/>
        <v>THOOTHUKUDI</v>
      </c>
      <c r="G132" s="1" t="s">
        <v>412</v>
      </c>
      <c r="H132" s="3" t="str">
        <f t="shared" si="5"/>
        <v>SPORTS</v>
      </c>
      <c r="I132" s="3" t="str">
        <f t="shared" si="6"/>
        <v>FOOTBALL</v>
      </c>
      <c r="J132" s="3">
        <f t="shared" si="7"/>
        <v>3</v>
      </c>
      <c r="K132" s="3">
        <f t="shared" si="8"/>
        <v>372</v>
      </c>
      <c r="L132" s="4">
        <f t="shared" si="9"/>
        <v>0.17</v>
      </c>
      <c r="M132" s="3">
        <f t="shared" si="10"/>
        <v>926.28</v>
      </c>
      <c r="N132" s="3">
        <f t="shared" si="11"/>
        <v>648</v>
      </c>
      <c r="O132" s="3">
        <f t="shared" si="12"/>
        <v>278</v>
      </c>
      <c r="P132" s="3" t="str">
        <f t="shared" si="13"/>
        <v>UPI</v>
      </c>
      <c r="Q132" s="3" t="str">
        <f t="shared" si="14"/>
        <v>CANCELLED</v>
      </c>
    </row>
    <row r="133">
      <c r="A133" s="1" t="s">
        <v>413</v>
      </c>
      <c r="B133" s="2">
        <f t="shared" si="1"/>
        <v>46272</v>
      </c>
      <c r="C133" s="1" t="s">
        <v>414</v>
      </c>
      <c r="D133" s="3" t="str">
        <f t="shared" si="2"/>
        <v>SHOBN</v>
      </c>
      <c r="E133" s="3" t="str">
        <f t="shared" si="3"/>
        <v>KERALA</v>
      </c>
      <c r="F133" s="3" t="str">
        <f t="shared" si="4"/>
        <v>KOCHI</v>
      </c>
      <c r="G133" s="1" t="s">
        <v>415</v>
      </c>
      <c r="H133" s="3" t="str">
        <f t="shared" si="5"/>
        <v>FOOD</v>
      </c>
      <c r="I133" s="3" t="str">
        <f t="shared" si="6"/>
        <v>BIRIYANI</v>
      </c>
      <c r="J133" s="3">
        <f t="shared" si="7"/>
        <v>2</v>
      </c>
      <c r="K133" s="3">
        <f t="shared" si="8"/>
        <v>478</v>
      </c>
      <c r="L133" s="4">
        <f t="shared" si="9"/>
        <v>0.15</v>
      </c>
      <c r="M133" s="3">
        <f t="shared" si="10"/>
        <v>812.6</v>
      </c>
      <c r="N133" s="3">
        <f t="shared" si="11"/>
        <v>569</v>
      </c>
      <c r="O133" s="3">
        <f t="shared" si="12"/>
        <v>244</v>
      </c>
      <c r="P133" s="3" t="str">
        <f t="shared" si="13"/>
        <v>CARD</v>
      </c>
      <c r="Q133" s="3" t="str">
        <f t="shared" si="14"/>
        <v>RETURNED</v>
      </c>
    </row>
    <row r="134">
      <c r="A134" s="1" t="s">
        <v>416</v>
      </c>
      <c r="B134" s="2">
        <f t="shared" si="1"/>
        <v>46311</v>
      </c>
      <c r="C134" s="1" t="s">
        <v>417</v>
      </c>
      <c r="D134" s="3" t="str">
        <f t="shared" si="2"/>
        <v>SOBI</v>
      </c>
      <c r="E134" s="3" t="str">
        <f t="shared" si="3"/>
        <v>KARNATAKA</v>
      </c>
      <c r="F134" s="3" t="str">
        <f t="shared" si="4"/>
        <v>BANGALURU</v>
      </c>
      <c r="G134" s="1" t="s">
        <v>418</v>
      </c>
      <c r="H134" s="3" t="str">
        <f t="shared" si="5"/>
        <v>DRESS</v>
      </c>
      <c r="I134" s="3" t="str">
        <f t="shared" si="6"/>
        <v>WOMEN WAERS</v>
      </c>
      <c r="J134" s="3">
        <f t="shared" si="7"/>
        <v>5</v>
      </c>
      <c r="K134" s="3">
        <f t="shared" si="8"/>
        <v>114</v>
      </c>
      <c r="L134" s="4">
        <f t="shared" si="9"/>
        <v>0.15</v>
      </c>
      <c r="M134" s="3">
        <f t="shared" si="10"/>
        <v>484.5</v>
      </c>
      <c r="N134" s="3">
        <f t="shared" si="11"/>
        <v>339</v>
      </c>
      <c r="O134" s="3">
        <f t="shared" si="12"/>
        <v>146</v>
      </c>
      <c r="P134" s="3" t="str">
        <f t="shared" si="13"/>
        <v>COD</v>
      </c>
      <c r="Q134" s="3" t="str">
        <f t="shared" si="14"/>
        <v>DELIVERED</v>
      </c>
    </row>
    <row r="135">
      <c r="A135" s="1" t="s">
        <v>419</v>
      </c>
      <c r="B135" s="2">
        <f t="shared" si="1"/>
        <v>46052</v>
      </c>
      <c r="C135" s="1" t="s">
        <v>420</v>
      </c>
      <c r="D135" s="3" t="str">
        <f t="shared" si="2"/>
        <v>SUJI</v>
      </c>
      <c r="E135" s="3" t="str">
        <f t="shared" si="3"/>
        <v>ANDHRA PRADESH</v>
      </c>
      <c r="F135" s="3" t="str">
        <f t="shared" si="4"/>
        <v>TIRUPATI</v>
      </c>
      <c r="G135" s="1" t="s">
        <v>421</v>
      </c>
      <c r="H135" s="3" t="str">
        <f t="shared" si="5"/>
        <v>BEAUTY</v>
      </c>
      <c r="I135" s="3" t="str">
        <f t="shared" si="6"/>
        <v>KAJAL</v>
      </c>
      <c r="J135" s="3">
        <f t="shared" si="7"/>
        <v>4</v>
      </c>
      <c r="K135" s="3">
        <f t="shared" si="8"/>
        <v>366</v>
      </c>
      <c r="L135" s="4">
        <f t="shared" si="9"/>
        <v>0.17</v>
      </c>
      <c r="M135" s="3">
        <f t="shared" si="10"/>
        <v>1215.12</v>
      </c>
      <c r="N135" s="3">
        <f t="shared" si="11"/>
        <v>851</v>
      </c>
      <c r="O135" s="3">
        <f t="shared" si="12"/>
        <v>364</v>
      </c>
      <c r="P135" s="3" t="str">
        <f t="shared" si="13"/>
        <v>NET BANKING</v>
      </c>
      <c r="Q135" s="3" t="str">
        <f t="shared" si="14"/>
        <v>SHIPPED</v>
      </c>
    </row>
    <row r="136">
      <c r="A136" s="1" t="s">
        <v>422</v>
      </c>
      <c r="B136" s="2">
        <f t="shared" si="1"/>
        <v>46250</v>
      </c>
      <c r="C136" s="1" t="s">
        <v>423</v>
      </c>
      <c r="D136" s="3" t="str">
        <f t="shared" si="2"/>
        <v>RATHA</v>
      </c>
      <c r="E136" s="3" t="str">
        <f t="shared" si="3"/>
        <v>TELUGANA</v>
      </c>
      <c r="F136" s="3" t="str">
        <f t="shared" si="4"/>
        <v>HYDERABAD</v>
      </c>
      <c r="G136" s="1" t="s">
        <v>424</v>
      </c>
      <c r="H136" s="3" t="str">
        <f t="shared" si="5"/>
        <v>HOME &amp; KITCHEN</v>
      </c>
      <c r="I136" s="3" t="str">
        <f t="shared" si="6"/>
        <v>MIXER GRAINDER</v>
      </c>
      <c r="J136" s="3">
        <f t="shared" si="7"/>
        <v>3</v>
      </c>
      <c r="K136" s="3">
        <f t="shared" si="8"/>
        <v>289</v>
      </c>
      <c r="L136" s="4">
        <f t="shared" si="9"/>
        <v>0</v>
      </c>
      <c r="M136" s="3">
        <f t="shared" si="10"/>
        <v>867</v>
      </c>
      <c r="N136" s="3">
        <f t="shared" si="11"/>
        <v>607</v>
      </c>
      <c r="O136" s="3">
        <f t="shared" si="12"/>
        <v>260</v>
      </c>
      <c r="P136" s="3" t="str">
        <f t="shared" si="13"/>
        <v>WALLET</v>
      </c>
      <c r="Q136" s="3" t="str">
        <f t="shared" si="14"/>
        <v>CANCELLED</v>
      </c>
    </row>
    <row r="137">
      <c r="A137" s="1" t="s">
        <v>425</v>
      </c>
      <c r="B137" s="2">
        <f t="shared" si="1"/>
        <v>46113</v>
      </c>
      <c r="C137" s="1" t="s">
        <v>426</v>
      </c>
      <c r="D137" s="3" t="str">
        <f t="shared" si="2"/>
        <v>SUSA</v>
      </c>
      <c r="E137" s="3" t="str">
        <f t="shared" si="3"/>
        <v>UTTHRA PRADESH</v>
      </c>
      <c r="F137" s="3" t="str">
        <f t="shared" si="4"/>
        <v>LUCKNOW</v>
      </c>
      <c r="G137" s="1" t="s">
        <v>427</v>
      </c>
      <c r="H137" s="3" t="str">
        <f t="shared" si="5"/>
        <v>BOOKS</v>
      </c>
      <c r="I137" s="3" t="str">
        <f t="shared" si="6"/>
        <v>LIFE OF PI</v>
      </c>
      <c r="J137" s="3">
        <f t="shared" si="7"/>
        <v>1</v>
      </c>
      <c r="K137" s="3">
        <f t="shared" si="8"/>
        <v>357</v>
      </c>
      <c r="L137" s="4">
        <f t="shared" si="9"/>
        <v>0.17</v>
      </c>
      <c r="M137" s="3">
        <f t="shared" si="10"/>
        <v>296.31</v>
      </c>
      <c r="N137" s="3">
        <f t="shared" si="11"/>
        <v>207</v>
      </c>
      <c r="O137" s="3">
        <f t="shared" si="12"/>
        <v>89</v>
      </c>
      <c r="P137" s="3" t="str">
        <f t="shared" si="13"/>
        <v>UPI</v>
      </c>
      <c r="Q137" s="3" t="str">
        <f t="shared" si="14"/>
        <v>RETURNED</v>
      </c>
    </row>
    <row r="138">
      <c r="A138" s="1" t="s">
        <v>428</v>
      </c>
      <c r="B138" s="2">
        <f t="shared" si="1"/>
        <v>46355</v>
      </c>
      <c r="C138" s="1" t="s">
        <v>429</v>
      </c>
      <c r="D138" s="3" t="str">
        <f t="shared" si="2"/>
        <v>NIVE</v>
      </c>
      <c r="E138" s="3" t="str">
        <f t="shared" si="3"/>
        <v>GUJARAT</v>
      </c>
      <c r="F138" s="3" t="str">
        <f t="shared" si="4"/>
        <v>SURAT</v>
      </c>
      <c r="G138" s="1" t="s">
        <v>430</v>
      </c>
      <c r="H138" s="3" t="str">
        <f t="shared" si="5"/>
        <v>ACCESSORIES</v>
      </c>
      <c r="I138" s="3" t="str">
        <f t="shared" si="6"/>
        <v>EARRINGS</v>
      </c>
      <c r="J138" s="3">
        <f t="shared" si="7"/>
        <v>2</v>
      </c>
      <c r="K138" s="3">
        <f t="shared" si="8"/>
        <v>138</v>
      </c>
      <c r="L138" s="4">
        <f t="shared" si="9"/>
        <v>0.1</v>
      </c>
      <c r="M138" s="3">
        <f t="shared" si="10"/>
        <v>248.4</v>
      </c>
      <c r="N138" s="3">
        <f t="shared" si="11"/>
        <v>174</v>
      </c>
      <c r="O138" s="3">
        <f t="shared" si="12"/>
        <v>74</v>
      </c>
      <c r="P138" s="3" t="str">
        <f t="shared" si="13"/>
        <v>CARD</v>
      </c>
      <c r="Q138" s="3" t="str">
        <f t="shared" si="14"/>
        <v>DELIVERED</v>
      </c>
    </row>
    <row r="139">
      <c r="A139" s="1" t="s">
        <v>431</v>
      </c>
      <c r="B139" s="2">
        <f t="shared" si="1"/>
        <v>46126</v>
      </c>
      <c r="C139" s="1" t="s">
        <v>432</v>
      </c>
      <c r="D139" s="3" t="str">
        <f t="shared" si="2"/>
        <v>VINO</v>
      </c>
      <c r="E139" s="3" t="str">
        <f t="shared" si="3"/>
        <v>RAJASTHAN</v>
      </c>
      <c r="F139" s="3" t="str">
        <f t="shared" si="4"/>
        <v>JAIPUR</v>
      </c>
      <c r="G139" s="1" t="s">
        <v>433</v>
      </c>
      <c r="H139" s="3" t="str">
        <f t="shared" si="5"/>
        <v>ELECTRONICS</v>
      </c>
      <c r="I139" s="3" t="str">
        <f t="shared" si="6"/>
        <v>WIRELESS EARBUDS</v>
      </c>
      <c r="J139" s="3">
        <f t="shared" si="7"/>
        <v>3</v>
      </c>
      <c r="K139" s="3">
        <f t="shared" si="8"/>
        <v>144</v>
      </c>
      <c r="L139" s="4">
        <f t="shared" si="9"/>
        <v>0</v>
      </c>
      <c r="M139" s="3">
        <f t="shared" si="10"/>
        <v>432</v>
      </c>
      <c r="N139" s="3">
        <f t="shared" si="11"/>
        <v>302</v>
      </c>
      <c r="O139" s="3">
        <f t="shared" si="12"/>
        <v>130</v>
      </c>
      <c r="P139" s="3" t="str">
        <f t="shared" si="13"/>
        <v>COD</v>
      </c>
      <c r="Q139" s="3" t="str">
        <f t="shared" si="14"/>
        <v>SHIPPED</v>
      </c>
    </row>
    <row r="140">
      <c r="A140" s="1" t="s">
        <v>434</v>
      </c>
      <c r="B140" s="2">
        <f t="shared" si="1"/>
        <v>46072</v>
      </c>
      <c r="C140" s="1" t="s">
        <v>435</v>
      </c>
      <c r="D140" s="3" t="str">
        <f t="shared" si="2"/>
        <v>ABI</v>
      </c>
      <c r="E140" s="3" t="str">
        <f t="shared" si="3"/>
        <v>WEST BENGAL</v>
      </c>
      <c r="F140" s="3" t="str">
        <f t="shared" si="4"/>
        <v>KOLKATA</v>
      </c>
      <c r="G140" s="1" t="s">
        <v>436</v>
      </c>
      <c r="H140" s="3" t="str">
        <f t="shared" si="5"/>
        <v>SPORTS</v>
      </c>
      <c r="I140" s="3" t="str">
        <f t="shared" si="6"/>
        <v>FOOTBALL</v>
      </c>
      <c r="J140" s="3">
        <f t="shared" si="7"/>
        <v>2</v>
      </c>
      <c r="K140" s="3">
        <f t="shared" si="8"/>
        <v>490</v>
      </c>
      <c r="L140" s="4">
        <f t="shared" si="9"/>
        <v>0.2</v>
      </c>
      <c r="M140" s="3">
        <f t="shared" si="10"/>
        <v>784</v>
      </c>
      <c r="N140" s="3">
        <f t="shared" si="11"/>
        <v>549</v>
      </c>
      <c r="O140" s="3">
        <f t="shared" si="12"/>
        <v>235</v>
      </c>
      <c r="P140" s="3" t="str">
        <f t="shared" si="13"/>
        <v>NET BANKING</v>
      </c>
      <c r="Q140" s="3" t="str">
        <f t="shared" si="14"/>
        <v>CANCELLED</v>
      </c>
    </row>
    <row r="141">
      <c r="A141" s="1" t="s">
        <v>437</v>
      </c>
      <c r="B141" s="2">
        <f t="shared" si="1"/>
        <v>46126</v>
      </c>
      <c r="C141" s="1" t="s">
        <v>438</v>
      </c>
      <c r="D141" s="3" t="str">
        <f t="shared" si="2"/>
        <v>NIHAAR</v>
      </c>
      <c r="E141" s="3" t="str">
        <f t="shared" si="3"/>
        <v>MAGARASTRA</v>
      </c>
      <c r="F141" s="3" t="str">
        <f t="shared" si="4"/>
        <v>PUNE</v>
      </c>
      <c r="G141" s="1" t="s">
        <v>439</v>
      </c>
      <c r="H141" s="3" t="str">
        <f t="shared" si="5"/>
        <v>FOOD</v>
      </c>
      <c r="I141" s="3" t="str">
        <f t="shared" si="6"/>
        <v>BIRIYANI</v>
      </c>
      <c r="J141" s="3">
        <f t="shared" si="7"/>
        <v>5</v>
      </c>
      <c r="K141" s="3">
        <f t="shared" si="8"/>
        <v>293</v>
      </c>
      <c r="L141" s="4">
        <f t="shared" si="9"/>
        <v>0</v>
      </c>
      <c r="M141" s="3">
        <f t="shared" si="10"/>
        <v>1465</v>
      </c>
      <c r="N141" s="3">
        <f t="shared" si="11"/>
        <v>1026</v>
      </c>
      <c r="O141" s="3">
        <f t="shared" si="12"/>
        <v>439</v>
      </c>
      <c r="P141" s="3" t="str">
        <f t="shared" si="13"/>
        <v>WALLET</v>
      </c>
      <c r="Q141" s="3" t="str">
        <f t="shared" si="14"/>
        <v>RETURNED</v>
      </c>
    </row>
    <row r="142">
      <c r="A142" s="1" t="s">
        <v>440</v>
      </c>
      <c r="B142" s="2">
        <f t="shared" si="1"/>
        <v>46198</v>
      </c>
      <c r="C142" s="1" t="s">
        <v>441</v>
      </c>
      <c r="D142" s="3" t="str">
        <f t="shared" si="2"/>
        <v>SRI</v>
      </c>
      <c r="E142" s="3" t="str">
        <f t="shared" si="3"/>
        <v>TAMILNADU</v>
      </c>
      <c r="F142" s="3" t="str">
        <f t="shared" si="4"/>
        <v>THOOTHUKUDI</v>
      </c>
      <c r="G142" s="1" t="s">
        <v>442</v>
      </c>
      <c r="H142" s="3" t="str">
        <f t="shared" si="5"/>
        <v>DRESS</v>
      </c>
      <c r="I142" s="3" t="str">
        <f t="shared" si="6"/>
        <v>WOMEN WAERS</v>
      </c>
      <c r="J142" s="3">
        <f t="shared" si="7"/>
        <v>1</v>
      </c>
      <c r="K142" s="3">
        <f t="shared" si="8"/>
        <v>292</v>
      </c>
      <c r="L142" s="4">
        <f t="shared" si="9"/>
        <v>0.15</v>
      </c>
      <c r="M142" s="3">
        <f t="shared" si="10"/>
        <v>248.2</v>
      </c>
      <c r="N142" s="3">
        <f t="shared" si="11"/>
        <v>174</v>
      </c>
      <c r="O142" s="3">
        <f t="shared" si="12"/>
        <v>74</v>
      </c>
      <c r="P142" s="3" t="str">
        <f t="shared" si="13"/>
        <v>UPI</v>
      </c>
      <c r="Q142" s="3" t="str">
        <f t="shared" si="14"/>
        <v>DELIVERED</v>
      </c>
    </row>
    <row r="143">
      <c r="A143" s="1" t="s">
        <v>443</v>
      </c>
      <c r="B143" s="2">
        <f t="shared" si="1"/>
        <v>46181</v>
      </c>
      <c r="C143" s="1" t="s">
        <v>444</v>
      </c>
      <c r="D143" s="3" t="str">
        <f t="shared" si="2"/>
        <v>SHOBN</v>
      </c>
      <c r="E143" s="3" t="str">
        <f t="shared" si="3"/>
        <v>KERALA</v>
      </c>
      <c r="F143" s="3" t="str">
        <f t="shared" si="4"/>
        <v>KOCHI</v>
      </c>
      <c r="G143" s="1" t="s">
        <v>445</v>
      </c>
      <c r="H143" s="3" t="str">
        <f t="shared" si="5"/>
        <v>BEAUTY</v>
      </c>
      <c r="I143" s="3" t="str">
        <f t="shared" si="6"/>
        <v>KAJAL</v>
      </c>
      <c r="J143" s="3">
        <f t="shared" si="7"/>
        <v>1</v>
      </c>
      <c r="K143" s="3">
        <f t="shared" si="8"/>
        <v>227</v>
      </c>
      <c r="L143" s="4">
        <f t="shared" si="9"/>
        <v>0</v>
      </c>
      <c r="M143" s="3">
        <f t="shared" si="10"/>
        <v>227</v>
      </c>
      <c r="N143" s="3">
        <f t="shared" si="11"/>
        <v>159</v>
      </c>
      <c r="O143" s="3">
        <f t="shared" si="12"/>
        <v>68</v>
      </c>
      <c r="P143" s="3" t="str">
        <f t="shared" si="13"/>
        <v>CARD</v>
      </c>
      <c r="Q143" s="3" t="str">
        <f t="shared" si="14"/>
        <v>SHIPPED</v>
      </c>
    </row>
    <row r="144">
      <c r="A144" s="1" t="s">
        <v>446</v>
      </c>
      <c r="B144" s="2">
        <f t="shared" si="1"/>
        <v>46198</v>
      </c>
      <c r="C144" s="1" t="s">
        <v>447</v>
      </c>
      <c r="D144" s="3" t="str">
        <f t="shared" si="2"/>
        <v>SOBI</v>
      </c>
      <c r="E144" s="3" t="str">
        <f t="shared" si="3"/>
        <v>KARNATAKA</v>
      </c>
      <c r="F144" s="3" t="str">
        <f t="shared" si="4"/>
        <v>BANGALURU</v>
      </c>
      <c r="G144" s="1" t="s">
        <v>448</v>
      </c>
      <c r="H144" s="3" t="str">
        <f t="shared" si="5"/>
        <v>HOME &amp; KITCHEN</v>
      </c>
      <c r="I144" s="3" t="str">
        <f t="shared" si="6"/>
        <v>MIXER GRAINDER</v>
      </c>
      <c r="J144" s="3">
        <f t="shared" si="7"/>
        <v>1</v>
      </c>
      <c r="K144" s="3">
        <f t="shared" si="8"/>
        <v>483</v>
      </c>
      <c r="L144" s="4">
        <f t="shared" si="9"/>
        <v>0.2</v>
      </c>
      <c r="M144" s="3">
        <f t="shared" si="10"/>
        <v>386.4</v>
      </c>
      <c r="N144" s="3">
        <f t="shared" si="11"/>
        <v>270</v>
      </c>
      <c r="O144" s="3">
        <f t="shared" si="12"/>
        <v>116</v>
      </c>
      <c r="P144" s="3" t="str">
        <f t="shared" si="13"/>
        <v>COD</v>
      </c>
      <c r="Q144" s="3" t="str">
        <f t="shared" si="14"/>
        <v>CANCELLED</v>
      </c>
    </row>
    <row r="145">
      <c r="A145" s="1" t="s">
        <v>449</v>
      </c>
      <c r="B145" s="2">
        <f t="shared" si="1"/>
        <v>46173</v>
      </c>
      <c r="C145" s="1" t="s">
        <v>450</v>
      </c>
      <c r="D145" s="3" t="str">
        <f t="shared" si="2"/>
        <v>SUJI</v>
      </c>
      <c r="E145" s="3" t="str">
        <f t="shared" si="3"/>
        <v>ANDHRA PRADESH</v>
      </c>
      <c r="F145" s="3" t="str">
        <f t="shared" si="4"/>
        <v>TIRUPATI</v>
      </c>
      <c r="G145" s="1" t="s">
        <v>451</v>
      </c>
      <c r="H145" s="3" t="str">
        <f t="shared" si="5"/>
        <v>BOOKS</v>
      </c>
      <c r="I145" s="3" t="str">
        <f t="shared" si="6"/>
        <v>LIFE OF PI</v>
      </c>
      <c r="J145" s="3">
        <f t="shared" si="7"/>
        <v>4</v>
      </c>
      <c r="K145" s="3">
        <f t="shared" si="8"/>
        <v>336</v>
      </c>
      <c r="L145" s="4">
        <f t="shared" si="9"/>
        <v>0.15</v>
      </c>
      <c r="M145" s="3">
        <f t="shared" si="10"/>
        <v>1142.4</v>
      </c>
      <c r="N145" s="3">
        <f t="shared" si="11"/>
        <v>800</v>
      </c>
      <c r="O145" s="3">
        <f t="shared" si="12"/>
        <v>342</v>
      </c>
      <c r="P145" s="3" t="str">
        <f t="shared" si="13"/>
        <v>NET BANKING</v>
      </c>
      <c r="Q145" s="3" t="str">
        <f t="shared" si="14"/>
        <v>RETURNED</v>
      </c>
    </row>
    <row r="146">
      <c r="A146" s="1" t="s">
        <v>452</v>
      </c>
      <c r="B146" s="2">
        <f t="shared" si="1"/>
        <v>46296</v>
      </c>
      <c r="C146" s="1" t="s">
        <v>453</v>
      </c>
      <c r="D146" s="3" t="str">
        <f t="shared" si="2"/>
        <v>RATHA</v>
      </c>
      <c r="E146" s="3" t="str">
        <f t="shared" si="3"/>
        <v>TELUGANA</v>
      </c>
      <c r="F146" s="3" t="str">
        <f t="shared" si="4"/>
        <v>HYDERABAD</v>
      </c>
      <c r="G146" s="1" t="s">
        <v>454</v>
      </c>
      <c r="H146" s="3" t="str">
        <f t="shared" si="5"/>
        <v>ACCESSORIES</v>
      </c>
      <c r="I146" s="3" t="str">
        <f t="shared" si="6"/>
        <v>EARRINGS</v>
      </c>
      <c r="J146" s="3">
        <f t="shared" si="7"/>
        <v>2</v>
      </c>
      <c r="K146" s="3">
        <f t="shared" si="8"/>
        <v>484</v>
      </c>
      <c r="L146" s="4">
        <f t="shared" si="9"/>
        <v>0.2</v>
      </c>
      <c r="M146" s="3">
        <f t="shared" si="10"/>
        <v>774.4</v>
      </c>
      <c r="N146" s="3">
        <f t="shared" si="11"/>
        <v>542</v>
      </c>
      <c r="O146" s="3">
        <f t="shared" si="12"/>
        <v>232</v>
      </c>
      <c r="P146" s="3" t="str">
        <f t="shared" si="13"/>
        <v>WALLET</v>
      </c>
      <c r="Q146" s="3" t="str">
        <f t="shared" si="14"/>
        <v>DELIVERED</v>
      </c>
    </row>
    <row r="147">
      <c r="A147" s="1" t="s">
        <v>455</v>
      </c>
      <c r="B147" s="2">
        <f t="shared" si="1"/>
        <v>46198</v>
      </c>
      <c r="C147" s="1" t="s">
        <v>456</v>
      </c>
      <c r="D147" s="3" t="str">
        <f t="shared" si="2"/>
        <v>SUSA</v>
      </c>
      <c r="E147" s="3" t="str">
        <f t="shared" si="3"/>
        <v>UTTHRA PRADESH</v>
      </c>
      <c r="F147" s="3" t="str">
        <f t="shared" si="4"/>
        <v>LUCKNOW</v>
      </c>
      <c r="G147" s="1" t="s">
        <v>457</v>
      </c>
      <c r="H147" s="3" t="str">
        <f t="shared" si="5"/>
        <v>ELECTRONICS</v>
      </c>
      <c r="I147" s="3" t="str">
        <f t="shared" si="6"/>
        <v>WIRELESS EARBUDS</v>
      </c>
      <c r="J147" s="3">
        <f t="shared" si="7"/>
        <v>5</v>
      </c>
      <c r="K147" s="3">
        <f t="shared" si="8"/>
        <v>538</v>
      </c>
      <c r="L147" s="4">
        <f t="shared" si="9"/>
        <v>0.15</v>
      </c>
      <c r="M147" s="3">
        <f t="shared" si="10"/>
        <v>2286.5</v>
      </c>
      <c r="N147" s="3">
        <f t="shared" si="11"/>
        <v>1601</v>
      </c>
      <c r="O147" s="3">
        <f t="shared" si="12"/>
        <v>686</v>
      </c>
      <c r="P147" s="3" t="str">
        <f t="shared" si="13"/>
        <v>UPI</v>
      </c>
      <c r="Q147" s="3" t="str">
        <f t="shared" si="14"/>
        <v>SHIPPED</v>
      </c>
    </row>
    <row r="148">
      <c r="A148" s="1" t="s">
        <v>458</v>
      </c>
      <c r="B148" s="2">
        <f t="shared" si="1"/>
        <v>46024</v>
      </c>
      <c r="C148" s="1" t="s">
        <v>459</v>
      </c>
      <c r="D148" s="3" t="str">
        <f t="shared" si="2"/>
        <v>NIVE</v>
      </c>
      <c r="E148" s="3" t="str">
        <f t="shared" si="3"/>
        <v>GUJARAT</v>
      </c>
      <c r="F148" s="3" t="str">
        <f t="shared" si="4"/>
        <v>SURAT</v>
      </c>
      <c r="G148" s="1" t="s">
        <v>460</v>
      </c>
      <c r="H148" s="3" t="str">
        <f t="shared" si="5"/>
        <v>SPORTS</v>
      </c>
      <c r="I148" s="3" t="str">
        <f t="shared" si="6"/>
        <v>FOOTBALL</v>
      </c>
      <c r="J148" s="3">
        <f t="shared" si="7"/>
        <v>4</v>
      </c>
      <c r="K148" s="3">
        <f t="shared" si="8"/>
        <v>423</v>
      </c>
      <c r="L148" s="4">
        <f t="shared" si="9"/>
        <v>0.2</v>
      </c>
      <c r="M148" s="3">
        <f t="shared" si="10"/>
        <v>1353.6</v>
      </c>
      <c r="N148" s="3">
        <f t="shared" si="11"/>
        <v>948</v>
      </c>
      <c r="O148" s="3">
        <f t="shared" si="12"/>
        <v>406</v>
      </c>
      <c r="P148" s="3" t="str">
        <f t="shared" si="13"/>
        <v>CARD</v>
      </c>
      <c r="Q148" s="3" t="str">
        <f t="shared" si="14"/>
        <v>CANCELLED</v>
      </c>
    </row>
    <row r="149">
      <c r="A149" s="1" t="s">
        <v>461</v>
      </c>
      <c r="B149" s="2">
        <f t="shared" si="1"/>
        <v>46188</v>
      </c>
      <c r="C149" s="1" t="s">
        <v>462</v>
      </c>
      <c r="D149" s="3" t="str">
        <f t="shared" si="2"/>
        <v>VINO</v>
      </c>
      <c r="E149" s="3" t="str">
        <f t="shared" si="3"/>
        <v>RAJASTHAN</v>
      </c>
      <c r="F149" s="3" t="str">
        <f t="shared" si="4"/>
        <v>JAIPUR</v>
      </c>
      <c r="G149" s="1" t="s">
        <v>463</v>
      </c>
      <c r="H149" s="3" t="str">
        <f t="shared" si="5"/>
        <v>FOOD</v>
      </c>
      <c r="I149" s="3" t="str">
        <f t="shared" si="6"/>
        <v>BIRIYANI</v>
      </c>
      <c r="J149" s="3">
        <f t="shared" si="7"/>
        <v>1</v>
      </c>
      <c r="K149" s="3">
        <f t="shared" si="8"/>
        <v>552</v>
      </c>
      <c r="L149" s="4">
        <f t="shared" si="9"/>
        <v>0.5</v>
      </c>
      <c r="M149" s="3">
        <f t="shared" si="10"/>
        <v>276</v>
      </c>
      <c r="N149" s="3">
        <f t="shared" si="11"/>
        <v>193</v>
      </c>
      <c r="O149" s="3">
        <f t="shared" si="12"/>
        <v>83</v>
      </c>
      <c r="P149" s="3" t="str">
        <f t="shared" si="13"/>
        <v>COD</v>
      </c>
      <c r="Q149" s="3" t="str">
        <f t="shared" si="14"/>
        <v>RETURNED</v>
      </c>
    </row>
    <row r="150">
      <c r="A150" s="1" t="s">
        <v>464</v>
      </c>
      <c r="B150" s="2">
        <f t="shared" si="1"/>
        <v>46312</v>
      </c>
      <c r="C150" s="1" t="s">
        <v>465</v>
      </c>
      <c r="D150" s="3" t="str">
        <f t="shared" si="2"/>
        <v>ABI</v>
      </c>
      <c r="E150" s="3" t="str">
        <f t="shared" si="3"/>
        <v>WEST BENGAL</v>
      </c>
      <c r="F150" s="3" t="str">
        <f t="shared" si="4"/>
        <v>KOLKATA</v>
      </c>
      <c r="G150" s="1" t="s">
        <v>466</v>
      </c>
      <c r="H150" s="3" t="str">
        <f t="shared" si="5"/>
        <v>DRESS</v>
      </c>
      <c r="I150" s="3" t="str">
        <f t="shared" si="6"/>
        <v>WOMEN WAERS</v>
      </c>
      <c r="J150" s="3">
        <f t="shared" si="7"/>
        <v>5</v>
      </c>
      <c r="K150" s="3">
        <f t="shared" si="8"/>
        <v>199</v>
      </c>
      <c r="L150" s="4">
        <f t="shared" si="9"/>
        <v>0.5</v>
      </c>
      <c r="M150" s="3">
        <f t="shared" si="10"/>
        <v>497.5</v>
      </c>
      <c r="N150" s="3">
        <f t="shared" si="11"/>
        <v>348</v>
      </c>
      <c r="O150" s="3">
        <f t="shared" si="12"/>
        <v>150</v>
      </c>
      <c r="P150" s="3" t="str">
        <f t="shared" si="13"/>
        <v>NET BANKING</v>
      </c>
      <c r="Q150" s="3" t="str">
        <f t="shared" si="14"/>
        <v>DELIVERED</v>
      </c>
    </row>
    <row r="151">
      <c r="A151" s="1" t="s">
        <v>467</v>
      </c>
      <c r="B151" s="2">
        <f t="shared" si="1"/>
        <v>46120</v>
      </c>
      <c r="C151" s="1" t="s">
        <v>468</v>
      </c>
      <c r="D151" s="3" t="str">
        <f t="shared" si="2"/>
        <v>NIHAAR</v>
      </c>
      <c r="E151" s="3" t="str">
        <f t="shared" si="3"/>
        <v>MAGARASTRA</v>
      </c>
      <c r="F151" s="3" t="str">
        <f t="shared" si="4"/>
        <v>PUNE</v>
      </c>
      <c r="G151" s="1" t="s">
        <v>469</v>
      </c>
      <c r="H151" s="3" t="str">
        <f t="shared" si="5"/>
        <v>BEAUTY</v>
      </c>
      <c r="I151" s="3" t="str">
        <f t="shared" si="6"/>
        <v>KAJAL</v>
      </c>
      <c r="J151" s="3">
        <f t="shared" si="7"/>
        <v>1</v>
      </c>
      <c r="K151" s="3">
        <f t="shared" si="8"/>
        <v>137</v>
      </c>
      <c r="L151" s="4">
        <f t="shared" si="9"/>
        <v>0.1</v>
      </c>
      <c r="M151" s="3">
        <f t="shared" si="10"/>
        <v>123.3</v>
      </c>
      <c r="N151" s="3">
        <f t="shared" si="11"/>
        <v>86</v>
      </c>
      <c r="O151" s="3">
        <f t="shared" si="12"/>
        <v>37</v>
      </c>
      <c r="P151" s="3" t="str">
        <f t="shared" si="13"/>
        <v>WALLET</v>
      </c>
      <c r="Q151" s="3" t="str">
        <f t="shared" si="14"/>
        <v>SHIPPED</v>
      </c>
    </row>
    <row r="152">
      <c r="A152" s="1" t="s">
        <v>470</v>
      </c>
      <c r="B152" s="2">
        <f t="shared" si="1"/>
        <v>46279</v>
      </c>
      <c r="C152" s="1" t="s">
        <v>471</v>
      </c>
      <c r="D152" s="3" t="str">
        <f t="shared" si="2"/>
        <v>SRI</v>
      </c>
      <c r="E152" s="3" t="str">
        <f t="shared" si="3"/>
        <v>TAMILNADU</v>
      </c>
      <c r="F152" s="3" t="str">
        <f t="shared" si="4"/>
        <v>THOOTHUKUDI</v>
      </c>
      <c r="G152" s="1" t="s">
        <v>472</v>
      </c>
      <c r="H152" s="3" t="str">
        <f t="shared" si="5"/>
        <v>HOME &amp; KITCHEN</v>
      </c>
      <c r="I152" s="3" t="str">
        <f t="shared" si="6"/>
        <v>MIXER GRAINDER</v>
      </c>
      <c r="J152" s="3">
        <f t="shared" si="7"/>
        <v>2</v>
      </c>
      <c r="K152" s="3">
        <f t="shared" si="8"/>
        <v>426</v>
      </c>
      <c r="L152" s="4">
        <f t="shared" si="9"/>
        <v>0.5</v>
      </c>
      <c r="M152" s="3">
        <f t="shared" si="10"/>
        <v>426</v>
      </c>
      <c r="N152" s="3">
        <f t="shared" si="11"/>
        <v>298</v>
      </c>
      <c r="O152" s="3">
        <f t="shared" si="12"/>
        <v>128</v>
      </c>
      <c r="P152" s="3" t="str">
        <f t="shared" si="13"/>
        <v>UPI</v>
      </c>
      <c r="Q152" s="3" t="str">
        <f t="shared" si="14"/>
        <v>CANCELLED</v>
      </c>
    </row>
    <row r="153">
      <c r="A153" s="1" t="s">
        <v>473</v>
      </c>
      <c r="B153" s="2">
        <f t="shared" si="1"/>
        <v>46166</v>
      </c>
      <c r="C153" s="1" t="s">
        <v>474</v>
      </c>
      <c r="D153" s="3" t="str">
        <f t="shared" si="2"/>
        <v>SHOBN</v>
      </c>
      <c r="E153" s="3" t="str">
        <f t="shared" si="3"/>
        <v>KERALA</v>
      </c>
      <c r="F153" s="3" t="str">
        <f t="shared" si="4"/>
        <v>KOCHI</v>
      </c>
      <c r="G153" s="1" t="s">
        <v>475</v>
      </c>
      <c r="H153" s="3" t="str">
        <f t="shared" si="5"/>
        <v>BOOKS</v>
      </c>
      <c r="I153" s="3" t="str">
        <f t="shared" si="6"/>
        <v>LIFE OF PI</v>
      </c>
      <c r="J153" s="3">
        <f t="shared" si="7"/>
        <v>4</v>
      </c>
      <c r="K153" s="3">
        <f t="shared" si="8"/>
        <v>101</v>
      </c>
      <c r="L153" s="4">
        <f t="shared" si="9"/>
        <v>0</v>
      </c>
      <c r="M153" s="3">
        <f t="shared" si="10"/>
        <v>404</v>
      </c>
      <c r="N153" s="3">
        <f t="shared" si="11"/>
        <v>283</v>
      </c>
      <c r="O153" s="3">
        <f t="shared" si="12"/>
        <v>121</v>
      </c>
      <c r="P153" s="3" t="str">
        <f t="shared" si="13"/>
        <v>CARD</v>
      </c>
      <c r="Q153" s="3" t="str">
        <f t="shared" si="14"/>
        <v>RETURNED</v>
      </c>
    </row>
    <row r="154">
      <c r="A154" s="1" t="s">
        <v>476</v>
      </c>
      <c r="B154" s="2">
        <f t="shared" si="1"/>
        <v>46177</v>
      </c>
      <c r="C154" s="1" t="s">
        <v>477</v>
      </c>
      <c r="D154" s="3" t="str">
        <f t="shared" si="2"/>
        <v>SOBI</v>
      </c>
      <c r="E154" s="3" t="str">
        <f t="shared" si="3"/>
        <v>KARNATAKA</v>
      </c>
      <c r="F154" s="3" t="str">
        <f t="shared" si="4"/>
        <v>BANGALURU</v>
      </c>
      <c r="G154" s="1" t="s">
        <v>478</v>
      </c>
      <c r="H154" s="3" t="str">
        <f t="shared" si="5"/>
        <v>ACCESSORIES</v>
      </c>
      <c r="I154" s="3" t="str">
        <f t="shared" si="6"/>
        <v>EARRINGS</v>
      </c>
      <c r="J154" s="3">
        <f t="shared" si="7"/>
        <v>1</v>
      </c>
      <c r="K154" s="3">
        <f t="shared" si="8"/>
        <v>407</v>
      </c>
      <c r="L154" s="4">
        <f t="shared" si="9"/>
        <v>0.1</v>
      </c>
      <c r="M154" s="3">
        <f t="shared" si="10"/>
        <v>366.3</v>
      </c>
      <c r="N154" s="3">
        <f t="shared" si="11"/>
        <v>256</v>
      </c>
      <c r="O154" s="3">
        <f t="shared" si="12"/>
        <v>110</v>
      </c>
      <c r="P154" s="3" t="str">
        <f t="shared" si="13"/>
        <v>COD</v>
      </c>
      <c r="Q154" s="3" t="str">
        <f t="shared" si="14"/>
        <v>DELIVERED</v>
      </c>
    </row>
    <row r="155">
      <c r="A155" s="1" t="s">
        <v>479</v>
      </c>
      <c r="B155" s="2">
        <f t="shared" si="1"/>
        <v>46186</v>
      </c>
      <c r="C155" s="1" t="s">
        <v>480</v>
      </c>
      <c r="D155" s="3" t="str">
        <f t="shared" si="2"/>
        <v>SUJI</v>
      </c>
      <c r="E155" s="3" t="str">
        <f t="shared" si="3"/>
        <v>ANDHRA PRADESH</v>
      </c>
      <c r="F155" s="3" t="str">
        <f t="shared" si="4"/>
        <v>TIRUPATI</v>
      </c>
      <c r="G155" s="1" t="s">
        <v>481</v>
      </c>
      <c r="H155" s="3" t="str">
        <f t="shared" si="5"/>
        <v>ELECTRONICS</v>
      </c>
      <c r="I155" s="3" t="str">
        <f t="shared" si="6"/>
        <v>WIRELESS EARBUDS</v>
      </c>
      <c r="J155" s="3">
        <f t="shared" si="7"/>
        <v>2</v>
      </c>
      <c r="K155" s="3">
        <f t="shared" si="8"/>
        <v>261</v>
      </c>
      <c r="L155" s="4">
        <f t="shared" si="9"/>
        <v>0</v>
      </c>
      <c r="M155" s="3">
        <f t="shared" si="10"/>
        <v>522</v>
      </c>
      <c r="N155" s="3">
        <f t="shared" si="11"/>
        <v>365</v>
      </c>
      <c r="O155" s="3">
        <f t="shared" si="12"/>
        <v>157</v>
      </c>
      <c r="P155" s="3" t="str">
        <f t="shared" si="13"/>
        <v>NET BANKING</v>
      </c>
      <c r="Q155" s="3" t="str">
        <f t="shared" si="14"/>
        <v>SHIPPED</v>
      </c>
    </row>
    <row r="156">
      <c r="A156" s="1" t="s">
        <v>482</v>
      </c>
      <c r="B156" s="2">
        <f t="shared" si="1"/>
        <v>46177</v>
      </c>
      <c r="C156" s="1" t="s">
        <v>483</v>
      </c>
      <c r="D156" s="3" t="str">
        <f t="shared" si="2"/>
        <v>RATHA</v>
      </c>
      <c r="E156" s="3" t="str">
        <f t="shared" si="3"/>
        <v>TELUGANA</v>
      </c>
      <c r="F156" s="3" t="str">
        <f t="shared" si="4"/>
        <v>HYDERABAD</v>
      </c>
      <c r="G156" s="1" t="s">
        <v>484</v>
      </c>
      <c r="H156" s="3" t="str">
        <f t="shared" si="5"/>
        <v>SPORTS</v>
      </c>
      <c r="I156" s="3" t="str">
        <f t="shared" si="6"/>
        <v>FOOTBALL</v>
      </c>
      <c r="J156" s="3">
        <f t="shared" si="7"/>
        <v>1</v>
      </c>
      <c r="K156" s="3">
        <f t="shared" si="8"/>
        <v>421</v>
      </c>
      <c r="L156" s="4">
        <f t="shared" si="9"/>
        <v>0.2</v>
      </c>
      <c r="M156" s="3">
        <f t="shared" si="10"/>
        <v>336.8</v>
      </c>
      <c r="N156" s="3">
        <f t="shared" si="11"/>
        <v>236</v>
      </c>
      <c r="O156" s="3">
        <f t="shared" si="12"/>
        <v>101</v>
      </c>
      <c r="P156" s="3" t="str">
        <f t="shared" si="13"/>
        <v>WALLET</v>
      </c>
      <c r="Q156" s="3" t="str">
        <f t="shared" si="14"/>
        <v>CANCELLED</v>
      </c>
    </row>
    <row r="157">
      <c r="A157" s="1" t="s">
        <v>485</v>
      </c>
      <c r="B157" s="2">
        <f t="shared" si="1"/>
        <v>46144</v>
      </c>
      <c r="C157" s="1" t="s">
        <v>486</v>
      </c>
      <c r="D157" s="3" t="str">
        <f t="shared" si="2"/>
        <v>SUSA</v>
      </c>
      <c r="E157" s="3" t="str">
        <f t="shared" si="3"/>
        <v>UTTHRA PRADESH</v>
      </c>
      <c r="F157" s="3" t="str">
        <f t="shared" si="4"/>
        <v>LUCKNOW</v>
      </c>
      <c r="G157" s="1" t="s">
        <v>487</v>
      </c>
      <c r="H157" s="3" t="str">
        <f t="shared" si="5"/>
        <v>FOOD</v>
      </c>
      <c r="I157" s="3" t="str">
        <f t="shared" si="6"/>
        <v>BIRIYANI</v>
      </c>
      <c r="J157" s="3">
        <f t="shared" si="7"/>
        <v>2</v>
      </c>
      <c r="K157" s="3">
        <f t="shared" si="8"/>
        <v>103</v>
      </c>
      <c r="L157" s="4">
        <f t="shared" si="9"/>
        <v>0.15</v>
      </c>
      <c r="M157" s="3">
        <f t="shared" si="10"/>
        <v>175.1</v>
      </c>
      <c r="N157" s="3">
        <f t="shared" si="11"/>
        <v>123</v>
      </c>
      <c r="O157" s="3">
        <f t="shared" si="12"/>
        <v>52</v>
      </c>
      <c r="P157" s="3" t="str">
        <f t="shared" si="13"/>
        <v>UPI</v>
      </c>
      <c r="Q157" s="3" t="str">
        <f t="shared" si="14"/>
        <v>RETURNED</v>
      </c>
    </row>
    <row r="158">
      <c r="A158" s="1" t="s">
        <v>488</v>
      </c>
      <c r="B158" s="2">
        <f t="shared" si="1"/>
        <v>46256</v>
      </c>
      <c r="C158" s="1" t="s">
        <v>489</v>
      </c>
      <c r="D158" s="3" t="str">
        <f t="shared" si="2"/>
        <v>NIVE</v>
      </c>
      <c r="E158" s="3" t="str">
        <f t="shared" si="3"/>
        <v>GUJARAT</v>
      </c>
      <c r="F158" s="3" t="str">
        <f t="shared" si="4"/>
        <v>SURAT</v>
      </c>
      <c r="G158" s="1" t="s">
        <v>490</v>
      </c>
      <c r="H158" s="3" t="str">
        <f t="shared" si="5"/>
        <v>DRESS</v>
      </c>
      <c r="I158" s="3" t="str">
        <f t="shared" si="6"/>
        <v>WOMEN WAERS</v>
      </c>
      <c r="J158" s="3">
        <f t="shared" si="7"/>
        <v>5</v>
      </c>
      <c r="K158" s="3">
        <f t="shared" si="8"/>
        <v>488</v>
      </c>
      <c r="L158" s="4">
        <f t="shared" si="9"/>
        <v>0.1</v>
      </c>
      <c r="M158" s="3">
        <f t="shared" si="10"/>
        <v>2196</v>
      </c>
      <c r="N158" s="3">
        <f t="shared" si="11"/>
        <v>1537</v>
      </c>
      <c r="O158" s="3">
        <f t="shared" si="12"/>
        <v>659</v>
      </c>
      <c r="P158" s="3" t="str">
        <f t="shared" si="13"/>
        <v>CARD</v>
      </c>
      <c r="Q158" s="3" t="str">
        <f t="shared" si="14"/>
        <v>DELIVERED</v>
      </c>
    </row>
    <row r="159">
      <c r="A159" s="1" t="s">
        <v>491</v>
      </c>
      <c r="B159" s="2">
        <f t="shared" si="1"/>
        <v>46122</v>
      </c>
      <c r="C159" s="1" t="s">
        <v>492</v>
      </c>
      <c r="D159" s="3" t="str">
        <f t="shared" si="2"/>
        <v>VINO</v>
      </c>
      <c r="E159" s="3" t="str">
        <f t="shared" si="3"/>
        <v>RAJASTHAN</v>
      </c>
      <c r="F159" s="3" t="str">
        <f t="shared" si="4"/>
        <v>JAIPUR</v>
      </c>
      <c r="G159" s="1" t="s">
        <v>493</v>
      </c>
      <c r="H159" s="3" t="str">
        <f t="shared" si="5"/>
        <v>BEAUTY</v>
      </c>
      <c r="I159" s="3" t="str">
        <f t="shared" si="6"/>
        <v>KAJAL</v>
      </c>
      <c r="J159" s="3">
        <f t="shared" si="7"/>
        <v>2</v>
      </c>
      <c r="K159" s="3">
        <f t="shared" si="8"/>
        <v>227</v>
      </c>
      <c r="L159" s="4">
        <f t="shared" si="9"/>
        <v>0.2</v>
      </c>
      <c r="M159" s="3">
        <f t="shared" si="10"/>
        <v>363.2</v>
      </c>
      <c r="N159" s="3">
        <f t="shared" si="11"/>
        <v>254</v>
      </c>
      <c r="O159" s="3">
        <f t="shared" si="12"/>
        <v>109</v>
      </c>
      <c r="P159" s="3" t="str">
        <f t="shared" si="13"/>
        <v>COD</v>
      </c>
      <c r="Q159" s="3" t="str">
        <f t="shared" si="14"/>
        <v>SHIPPED</v>
      </c>
    </row>
    <row r="160">
      <c r="A160" s="1" t="s">
        <v>494</v>
      </c>
      <c r="B160" s="2">
        <f t="shared" si="1"/>
        <v>46051</v>
      </c>
      <c r="C160" s="1" t="s">
        <v>495</v>
      </c>
      <c r="D160" s="3" t="str">
        <f t="shared" si="2"/>
        <v>ABI</v>
      </c>
      <c r="E160" s="3" t="str">
        <f t="shared" si="3"/>
        <v>WEST BENGAL</v>
      </c>
      <c r="F160" s="3" t="str">
        <f t="shared" si="4"/>
        <v>KOLKATA</v>
      </c>
      <c r="G160" s="1" t="s">
        <v>496</v>
      </c>
      <c r="H160" s="3" t="str">
        <f t="shared" si="5"/>
        <v>HOME &amp; KITCHEN</v>
      </c>
      <c r="I160" s="3" t="str">
        <f t="shared" si="6"/>
        <v>MIXER GRAINDER</v>
      </c>
      <c r="J160" s="3">
        <f t="shared" si="7"/>
        <v>3</v>
      </c>
      <c r="K160" s="3">
        <f t="shared" si="8"/>
        <v>324</v>
      </c>
      <c r="L160" s="4">
        <f t="shared" si="9"/>
        <v>0.17</v>
      </c>
      <c r="M160" s="3">
        <f t="shared" si="10"/>
        <v>806.76</v>
      </c>
      <c r="N160" s="3">
        <f t="shared" si="11"/>
        <v>565</v>
      </c>
      <c r="O160" s="3">
        <f t="shared" si="12"/>
        <v>242</v>
      </c>
      <c r="P160" s="3" t="str">
        <f t="shared" si="13"/>
        <v>NET BANKING</v>
      </c>
      <c r="Q160" s="3" t="str">
        <f t="shared" si="14"/>
        <v>CANCELLED</v>
      </c>
    </row>
    <row r="161">
      <c r="A161" s="1" t="s">
        <v>497</v>
      </c>
      <c r="B161" s="2">
        <f t="shared" si="1"/>
        <v>46154</v>
      </c>
      <c r="C161" s="1" t="s">
        <v>498</v>
      </c>
      <c r="D161" s="3" t="str">
        <f t="shared" si="2"/>
        <v>NIHAAR</v>
      </c>
      <c r="E161" s="3" t="str">
        <f t="shared" si="3"/>
        <v>MAGARASTRA</v>
      </c>
      <c r="F161" s="3" t="str">
        <f t="shared" si="4"/>
        <v>PUNE</v>
      </c>
      <c r="G161" s="1" t="s">
        <v>499</v>
      </c>
      <c r="H161" s="3" t="str">
        <f t="shared" si="5"/>
        <v>BOOKS</v>
      </c>
      <c r="I161" s="3" t="str">
        <f t="shared" si="6"/>
        <v>LIFE OF PI</v>
      </c>
      <c r="J161" s="3">
        <f t="shared" si="7"/>
        <v>2</v>
      </c>
      <c r="K161" s="3">
        <f t="shared" si="8"/>
        <v>105</v>
      </c>
      <c r="L161" s="4">
        <f t="shared" si="9"/>
        <v>0.15</v>
      </c>
      <c r="M161" s="3">
        <f t="shared" si="10"/>
        <v>178.5</v>
      </c>
      <c r="N161" s="3">
        <f t="shared" si="11"/>
        <v>125</v>
      </c>
      <c r="O161" s="3">
        <f t="shared" si="12"/>
        <v>54</v>
      </c>
      <c r="P161" s="3" t="str">
        <f t="shared" si="13"/>
        <v>WALLET</v>
      </c>
      <c r="Q161" s="3" t="str">
        <f t="shared" si="14"/>
        <v>RETURNED</v>
      </c>
    </row>
    <row r="162">
      <c r="A162" s="1" t="s">
        <v>505</v>
      </c>
      <c r="B162" s="2">
        <f t="shared" si="1"/>
        <v>46367</v>
      </c>
      <c r="C162" s="1" t="s">
        <v>507</v>
      </c>
      <c r="D162" s="3" t="str">
        <f t="shared" si="2"/>
        <v>SRI</v>
      </c>
      <c r="E162" s="3" t="str">
        <f t="shared" si="3"/>
        <v>TAMILNADU</v>
      </c>
      <c r="F162" s="3" t="str">
        <f t="shared" si="4"/>
        <v>THOOTHUKUDI</v>
      </c>
      <c r="G162" s="1" t="s">
        <v>511</v>
      </c>
      <c r="H162" s="3" t="str">
        <f t="shared" si="5"/>
        <v>ACCESSORIES</v>
      </c>
      <c r="I162" s="3" t="str">
        <f t="shared" si="6"/>
        <v>EARRINGS</v>
      </c>
      <c r="J162" s="3">
        <f t="shared" si="7"/>
        <v>5</v>
      </c>
      <c r="K162" s="3">
        <f t="shared" si="8"/>
        <v>555</v>
      </c>
      <c r="L162" s="4">
        <f t="shared" si="9"/>
        <v>0.15</v>
      </c>
      <c r="M162" s="3">
        <f t="shared" si="10"/>
        <v>2358.75</v>
      </c>
      <c r="N162" s="3">
        <f t="shared" si="11"/>
        <v>1651</v>
      </c>
      <c r="O162" s="3">
        <f t="shared" si="12"/>
        <v>708</v>
      </c>
      <c r="P162" s="3" t="str">
        <f t="shared" si="13"/>
        <v>UPI</v>
      </c>
      <c r="Q162" s="3" t="str">
        <f t="shared" si="14"/>
        <v>DELIVERED</v>
      </c>
    </row>
    <row r="163">
      <c r="A163" s="1" t="s">
        <v>513</v>
      </c>
      <c r="B163" s="2">
        <f t="shared" si="1"/>
        <v>46208</v>
      </c>
      <c r="C163" s="1" t="s">
        <v>514</v>
      </c>
      <c r="D163" s="3" t="str">
        <f t="shared" si="2"/>
        <v>SHOBN</v>
      </c>
      <c r="E163" s="3" t="str">
        <f t="shared" si="3"/>
        <v>KERALA</v>
      </c>
      <c r="F163" s="3" t="str">
        <f t="shared" si="4"/>
        <v>KOCHI</v>
      </c>
      <c r="G163" s="1" t="s">
        <v>515</v>
      </c>
      <c r="H163" s="3" t="str">
        <f t="shared" si="5"/>
        <v>ELECTRONICS</v>
      </c>
      <c r="I163" s="3" t="str">
        <f t="shared" si="6"/>
        <v>WIRELESS EARBUDS</v>
      </c>
      <c r="J163" s="3">
        <f t="shared" si="7"/>
        <v>3</v>
      </c>
      <c r="K163" s="3">
        <f t="shared" si="8"/>
        <v>241</v>
      </c>
      <c r="L163" s="4">
        <f t="shared" si="9"/>
        <v>0.17</v>
      </c>
      <c r="M163" s="3">
        <f t="shared" si="10"/>
        <v>600.09</v>
      </c>
      <c r="N163" s="3">
        <f t="shared" si="11"/>
        <v>420</v>
      </c>
      <c r="O163" s="3">
        <f t="shared" si="12"/>
        <v>180</v>
      </c>
      <c r="P163" s="3" t="str">
        <f t="shared" si="13"/>
        <v>CARD</v>
      </c>
      <c r="Q163" s="3" t="str">
        <f t="shared" si="14"/>
        <v>SHIPPED</v>
      </c>
    </row>
    <row r="164">
      <c r="A164" s="1" t="s">
        <v>516</v>
      </c>
      <c r="B164" s="2">
        <f t="shared" si="1"/>
        <v>46199</v>
      </c>
      <c r="C164" s="1" t="s">
        <v>517</v>
      </c>
      <c r="D164" s="3" t="str">
        <f t="shared" si="2"/>
        <v>SOBI</v>
      </c>
      <c r="E164" s="3" t="str">
        <f t="shared" si="3"/>
        <v>KARNATAKA</v>
      </c>
      <c r="F164" s="3" t="str">
        <f t="shared" si="4"/>
        <v>BANGALURU</v>
      </c>
      <c r="G164" s="1" t="s">
        <v>518</v>
      </c>
      <c r="H164" s="3" t="str">
        <f t="shared" si="5"/>
        <v>SPORTS</v>
      </c>
      <c r="I164" s="3" t="str">
        <f t="shared" si="6"/>
        <v>FOOTBALL</v>
      </c>
      <c r="J164" s="3">
        <f t="shared" si="7"/>
        <v>2</v>
      </c>
      <c r="K164" s="3">
        <f t="shared" si="8"/>
        <v>468</v>
      </c>
      <c r="L164" s="4">
        <f t="shared" si="9"/>
        <v>0.17</v>
      </c>
      <c r="M164" s="3">
        <f t="shared" si="10"/>
        <v>776.88</v>
      </c>
      <c r="N164" s="3">
        <f t="shared" si="11"/>
        <v>544</v>
      </c>
      <c r="O164" s="3">
        <f t="shared" si="12"/>
        <v>233</v>
      </c>
      <c r="P164" s="3" t="str">
        <f t="shared" si="13"/>
        <v>COD</v>
      </c>
      <c r="Q164" s="3" t="str">
        <f t="shared" si="14"/>
        <v>CANCELLED</v>
      </c>
    </row>
    <row r="165">
      <c r="A165" s="1" t="s">
        <v>519</v>
      </c>
      <c r="B165" s="2">
        <f t="shared" si="1"/>
        <v>46160</v>
      </c>
      <c r="C165" s="1" t="s">
        <v>520</v>
      </c>
      <c r="D165" s="3" t="str">
        <f t="shared" si="2"/>
        <v>SUJI</v>
      </c>
      <c r="E165" s="3" t="str">
        <f t="shared" si="3"/>
        <v>ANDHRA PRADESH</v>
      </c>
      <c r="F165" s="3" t="str">
        <f t="shared" si="4"/>
        <v>TIRUPATI</v>
      </c>
      <c r="G165" s="1" t="s">
        <v>521</v>
      </c>
      <c r="H165" s="3" t="str">
        <f t="shared" si="5"/>
        <v>FOOD</v>
      </c>
      <c r="I165" s="3" t="str">
        <f t="shared" si="6"/>
        <v>BIRIYANI</v>
      </c>
      <c r="J165" s="3">
        <f t="shared" si="7"/>
        <v>3</v>
      </c>
      <c r="K165" s="3">
        <f t="shared" si="8"/>
        <v>504</v>
      </c>
      <c r="L165" s="4">
        <f t="shared" si="9"/>
        <v>0.17</v>
      </c>
      <c r="M165" s="3">
        <f t="shared" si="10"/>
        <v>1254.96</v>
      </c>
      <c r="N165" s="3">
        <f t="shared" si="11"/>
        <v>878</v>
      </c>
      <c r="O165" s="3">
        <f t="shared" si="12"/>
        <v>377</v>
      </c>
      <c r="P165" s="3" t="str">
        <f t="shared" si="13"/>
        <v>NET BANKING</v>
      </c>
      <c r="Q165" s="3" t="str">
        <f t="shared" si="14"/>
        <v>RETURNED</v>
      </c>
    </row>
    <row r="166">
      <c r="A166" s="1" t="s">
        <v>522</v>
      </c>
      <c r="B166" s="2">
        <f t="shared" si="1"/>
        <v>46282</v>
      </c>
      <c r="C166" s="1" t="s">
        <v>523</v>
      </c>
      <c r="D166" s="3" t="str">
        <f t="shared" si="2"/>
        <v>RATHA</v>
      </c>
      <c r="E166" s="3" t="str">
        <f t="shared" si="3"/>
        <v>TELUGANA</v>
      </c>
      <c r="F166" s="3" t="str">
        <f t="shared" si="4"/>
        <v>HYDERABAD</v>
      </c>
      <c r="G166" s="1" t="s">
        <v>524</v>
      </c>
      <c r="H166" s="3" t="str">
        <f t="shared" si="5"/>
        <v>DRESS</v>
      </c>
      <c r="I166" s="3" t="str">
        <f t="shared" si="6"/>
        <v>WOMEN WAERS</v>
      </c>
      <c r="J166" s="3">
        <f t="shared" si="7"/>
        <v>5</v>
      </c>
      <c r="K166" s="3">
        <f t="shared" si="8"/>
        <v>209</v>
      </c>
      <c r="L166" s="4">
        <f t="shared" si="9"/>
        <v>0.2</v>
      </c>
      <c r="M166" s="3">
        <f t="shared" si="10"/>
        <v>836</v>
      </c>
      <c r="N166" s="3">
        <f t="shared" si="11"/>
        <v>585</v>
      </c>
      <c r="O166" s="3">
        <f t="shared" si="12"/>
        <v>251</v>
      </c>
      <c r="P166" s="3" t="str">
        <f t="shared" si="13"/>
        <v>WALLET</v>
      </c>
      <c r="Q166" s="3" t="str">
        <f t="shared" si="14"/>
        <v>DELIVERED</v>
      </c>
    </row>
    <row r="167">
      <c r="A167" s="1" t="s">
        <v>525</v>
      </c>
      <c r="B167" s="2">
        <f t="shared" si="1"/>
        <v>46294</v>
      </c>
      <c r="C167" s="1" t="s">
        <v>527</v>
      </c>
      <c r="D167" s="3" t="str">
        <f t="shared" si="2"/>
        <v>SUSA</v>
      </c>
      <c r="E167" s="3" t="str">
        <f t="shared" si="3"/>
        <v>UTTHRA PRADESH</v>
      </c>
      <c r="F167" s="3" t="str">
        <f t="shared" si="4"/>
        <v>LUCKNOW</v>
      </c>
      <c r="G167" s="1" t="s">
        <v>529</v>
      </c>
      <c r="H167" s="3" t="str">
        <f t="shared" si="5"/>
        <v>BEAUTY</v>
      </c>
      <c r="I167" s="3" t="str">
        <f t="shared" si="6"/>
        <v>KAJAL</v>
      </c>
      <c r="J167" s="3">
        <f t="shared" si="7"/>
        <v>1</v>
      </c>
      <c r="K167" s="3">
        <f t="shared" si="8"/>
        <v>468</v>
      </c>
      <c r="L167" s="4">
        <f t="shared" si="9"/>
        <v>0.5</v>
      </c>
      <c r="M167" s="3">
        <f t="shared" si="10"/>
        <v>234</v>
      </c>
      <c r="N167" s="3">
        <f t="shared" si="11"/>
        <v>164</v>
      </c>
      <c r="O167" s="3">
        <f t="shared" si="12"/>
        <v>70</v>
      </c>
      <c r="P167" s="3" t="str">
        <f t="shared" si="13"/>
        <v>UPI</v>
      </c>
      <c r="Q167" s="3" t="str">
        <f t="shared" si="14"/>
        <v>SHIPPED</v>
      </c>
    </row>
    <row r="168">
      <c r="A168" s="1" t="s">
        <v>537</v>
      </c>
      <c r="B168" s="2">
        <f t="shared" si="1"/>
        <v>46030</v>
      </c>
      <c r="C168" s="1" t="s">
        <v>539</v>
      </c>
      <c r="D168" s="3" t="str">
        <f t="shared" si="2"/>
        <v>NIVE</v>
      </c>
      <c r="E168" s="3" t="str">
        <f t="shared" si="3"/>
        <v>GUJARAT</v>
      </c>
      <c r="F168" s="3" t="str">
        <f t="shared" si="4"/>
        <v>SURAT</v>
      </c>
      <c r="G168" s="1" t="s">
        <v>541</v>
      </c>
      <c r="H168" s="3" t="str">
        <f t="shared" si="5"/>
        <v>HOME &amp; KITCHEN</v>
      </c>
      <c r="I168" s="3" t="str">
        <f t="shared" si="6"/>
        <v>MIXER GRAINDER</v>
      </c>
      <c r="J168" s="3">
        <f t="shared" si="7"/>
        <v>1</v>
      </c>
      <c r="K168" s="3">
        <f t="shared" si="8"/>
        <v>516</v>
      </c>
      <c r="L168" s="4">
        <f t="shared" si="9"/>
        <v>0.2</v>
      </c>
      <c r="M168" s="3">
        <f t="shared" si="10"/>
        <v>412.8</v>
      </c>
      <c r="N168" s="3">
        <f t="shared" si="11"/>
        <v>289</v>
      </c>
      <c r="O168" s="3">
        <f t="shared" si="12"/>
        <v>124</v>
      </c>
      <c r="P168" s="3" t="str">
        <f t="shared" si="13"/>
        <v>CARD</v>
      </c>
      <c r="Q168" s="3" t="str">
        <f t="shared" si="14"/>
        <v>CANCELLED</v>
      </c>
    </row>
    <row r="169">
      <c r="A169" s="1" t="s">
        <v>542</v>
      </c>
      <c r="B169" s="2">
        <f t="shared" si="1"/>
        <v>46027</v>
      </c>
      <c r="C169" s="1" t="s">
        <v>543</v>
      </c>
      <c r="D169" s="3" t="str">
        <f t="shared" si="2"/>
        <v>VINO</v>
      </c>
      <c r="E169" s="3" t="str">
        <f t="shared" si="3"/>
        <v>RAJASTHAN</v>
      </c>
      <c r="F169" s="3" t="str">
        <f t="shared" si="4"/>
        <v>JAIPUR</v>
      </c>
      <c r="G169" s="1" t="s">
        <v>544</v>
      </c>
      <c r="H169" s="3" t="str">
        <f t="shared" si="5"/>
        <v>BOOKS</v>
      </c>
      <c r="I169" s="3" t="str">
        <f t="shared" si="6"/>
        <v>LIFE OF PI</v>
      </c>
      <c r="J169" s="3">
        <f t="shared" si="7"/>
        <v>2</v>
      </c>
      <c r="K169" s="3">
        <f t="shared" si="8"/>
        <v>558</v>
      </c>
      <c r="L169" s="4">
        <f t="shared" si="9"/>
        <v>0.5</v>
      </c>
      <c r="M169" s="3">
        <f t="shared" si="10"/>
        <v>558</v>
      </c>
      <c r="N169" s="3">
        <f t="shared" si="11"/>
        <v>391</v>
      </c>
      <c r="O169" s="3">
        <f t="shared" si="12"/>
        <v>167</v>
      </c>
      <c r="P169" s="3" t="str">
        <f t="shared" si="13"/>
        <v>COD</v>
      </c>
      <c r="Q169" s="3" t="str">
        <f t="shared" si="14"/>
        <v>RETURNED</v>
      </c>
    </row>
    <row r="170">
      <c r="A170" s="1" t="s">
        <v>545</v>
      </c>
      <c r="B170" s="2">
        <f t="shared" si="1"/>
        <v>46081</v>
      </c>
      <c r="C170" s="1" t="s">
        <v>546</v>
      </c>
      <c r="D170" s="3" t="str">
        <f t="shared" si="2"/>
        <v>ABI</v>
      </c>
      <c r="E170" s="3" t="str">
        <f t="shared" si="3"/>
        <v>WEST BENGAL</v>
      </c>
      <c r="F170" s="3" t="str">
        <f t="shared" si="4"/>
        <v>KOLKATA</v>
      </c>
      <c r="G170" s="1" t="s">
        <v>547</v>
      </c>
      <c r="H170" s="3" t="str">
        <f t="shared" si="5"/>
        <v>ACCESSORIES</v>
      </c>
      <c r="I170" s="3" t="str">
        <f t="shared" si="6"/>
        <v>EARRINGS</v>
      </c>
      <c r="J170" s="3">
        <f t="shared" si="7"/>
        <v>1</v>
      </c>
      <c r="K170" s="3">
        <f t="shared" si="8"/>
        <v>314</v>
      </c>
      <c r="L170" s="4">
        <f t="shared" si="9"/>
        <v>0.15</v>
      </c>
      <c r="M170" s="3">
        <f t="shared" si="10"/>
        <v>266.9</v>
      </c>
      <c r="N170" s="3">
        <f t="shared" si="11"/>
        <v>187</v>
      </c>
      <c r="O170" s="3">
        <f t="shared" si="12"/>
        <v>80</v>
      </c>
      <c r="P170" s="3" t="str">
        <f t="shared" si="13"/>
        <v>NET BANKING</v>
      </c>
      <c r="Q170" s="3" t="str">
        <f t="shared" si="14"/>
        <v>DELIVERED</v>
      </c>
    </row>
    <row r="171">
      <c r="A171" s="1" t="s">
        <v>548</v>
      </c>
      <c r="B171" s="2">
        <f t="shared" si="1"/>
        <v>46336</v>
      </c>
      <c r="C171" s="1" t="s">
        <v>549</v>
      </c>
      <c r="D171" s="3" t="str">
        <f t="shared" si="2"/>
        <v>NIHAAR</v>
      </c>
      <c r="E171" s="3" t="str">
        <f t="shared" si="3"/>
        <v>MAGARASTRA</v>
      </c>
      <c r="F171" s="3" t="str">
        <f t="shared" si="4"/>
        <v>PUNE</v>
      </c>
      <c r="G171" s="1" t="s">
        <v>550</v>
      </c>
      <c r="H171" s="3" t="str">
        <f t="shared" si="5"/>
        <v>ELECTRONICS</v>
      </c>
      <c r="I171" s="3" t="str">
        <f t="shared" si="6"/>
        <v>WIRELESS EARBUDS</v>
      </c>
      <c r="J171" s="3">
        <f t="shared" si="7"/>
        <v>1</v>
      </c>
      <c r="K171" s="3">
        <f t="shared" si="8"/>
        <v>588</v>
      </c>
      <c r="L171" s="4">
        <f t="shared" si="9"/>
        <v>0.17</v>
      </c>
      <c r="M171" s="3">
        <f t="shared" si="10"/>
        <v>488.04</v>
      </c>
      <c r="N171" s="3">
        <f t="shared" si="11"/>
        <v>342</v>
      </c>
      <c r="O171" s="3">
        <f t="shared" si="12"/>
        <v>146</v>
      </c>
      <c r="P171" s="3" t="str">
        <f t="shared" si="13"/>
        <v>WALLET</v>
      </c>
      <c r="Q171" s="3" t="str">
        <f t="shared" si="14"/>
        <v>SHIPPED</v>
      </c>
    </row>
    <row r="172">
      <c r="A172" s="1" t="s">
        <v>551</v>
      </c>
      <c r="B172" s="2">
        <f t="shared" si="1"/>
        <v>46212</v>
      </c>
      <c r="C172" s="1" t="s">
        <v>552</v>
      </c>
      <c r="D172" s="3" t="str">
        <f t="shared" si="2"/>
        <v>SRI</v>
      </c>
      <c r="E172" s="3" t="str">
        <f t="shared" si="3"/>
        <v>TAMILNADU</v>
      </c>
      <c r="F172" s="3" t="str">
        <f t="shared" si="4"/>
        <v>THOOTHUKUDI</v>
      </c>
      <c r="G172" s="1" t="s">
        <v>553</v>
      </c>
      <c r="H172" s="3" t="str">
        <f t="shared" si="5"/>
        <v>SPORTS</v>
      </c>
      <c r="I172" s="3" t="str">
        <f t="shared" si="6"/>
        <v>FOOTBALL</v>
      </c>
      <c r="J172" s="3">
        <f t="shared" si="7"/>
        <v>2</v>
      </c>
      <c r="K172" s="3">
        <f t="shared" si="8"/>
        <v>551</v>
      </c>
      <c r="L172" s="4">
        <f t="shared" si="9"/>
        <v>0.17</v>
      </c>
      <c r="M172" s="3">
        <f t="shared" si="10"/>
        <v>914.66</v>
      </c>
      <c r="N172" s="3">
        <f t="shared" si="11"/>
        <v>640</v>
      </c>
      <c r="O172" s="3">
        <f t="shared" si="12"/>
        <v>275</v>
      </c>
      <c r="P172" s="3" t="str">
        <f t="shared" si="13"/>
        <v>UPI</v>
      </c>
      <c r="Q172" s="3" t="str">
        <f t="shared" si="14"/>
        <v>CANCELLED</v>
      </c>
    </row>
    <row r="173">
      <c r="A173" s="1" t="s">
        <v>554</v>
      </c>
      <c r="B173" s="2">
        <f t="shared" si="1"/>
        <v>46330</v>
      </c>
      <c r="C173" s="1" t="s">
        <v>555</v>
      </c>
      <c r="D173" s="3" t="str">
        <f t="shared" si="2"/>
        <v>SHOBN</v>
      </c>
      <c r="E173" s="3" t="str">
        <f t="shared" si="3"/>
        <v>KERALA</v>
      </c>
      <c r="F173" s="3" t="str">
        <f t="shared" si="4"/>
        <v>KOCHI</v>
      </c>
      <c r="G173" s="1" t="s">
        <v>556</v>
      </c>
      <c r="H173" s="3" t="str">
        <f t="shared" si="5"/>
        <v>FOOD</v>
      </c>
      <c r="I173" s="3" t="str">
        <f t="shared" si="6"/>
        <v>BIRIYANI</v>
      </c>
      <c r="J173" s="3">
        <f t="shared" si="7"/>
        <v>1</v>
      </c>
      <c r="K173" s="3">
        <f t="shared" si="8"/>
        <v>188</v>
      </c>
      <c r="L173" s="4">
        <f t="shared" si="9"/>
        <v>0.1</v>
      </c>
      <c r="M173" s="3">
        <f t="shared" si="10"/>
        <v>169.2</v>
      </c>
      <c r="N173" s="3">
        <f t="shared" si="11"/>
        <v>118</v>
      </c>
      <c r="O173" s="3">
        <f t="shared" si="12"/>
        <v>51</v>
      </c>
      <c r="P173" s="3" t="str">
        <f t="shared" si="13"/>
        <v>CARD</v>
      </c>
      <c r="Q173" s="3" t="str">
        <f t="shared" si="14"/>
        <v>RETURNED</v>
      </c>
    </row>
    <row r="174">
      <c r="A174" s="1" t="s">
        <v>557</v>
      </c>
      <c r="B174" s="2">
        <f t="shared" si="1"/>
        <v>46369</v>
      </c>
      <c r="C174" s="1" t="s">
        <v>558</v>
      </c>
      <c r="D174" s="3" t="str">
        <f t="shared" si="2"/>
        <v>SOBI</v>
      </c>
      <c r="E174" s="3" t="str">
        <f t="shared" si="3"/>
        <v>KARNATAKA</v>
      </c>
      <c r="F174" s="3" t="str">
        <f t="shared" si="4"/>
        <v>BANGALURU</v>
      </c>
      <c r="G174" s="1" t="s">
        <v>559</v>
      </c>
      <c r="H174" s="3" t="str">
        <f t="shared" si="5"/>
        <v>DRESS</v>
      </c>
      <c r="I174" s="3" t="str">
        <f t="shared" si="6"/>
        <v>WOMEN WAERS</v>
      </c>
      <c r="J174" s="3">
        <f t="shared" si="7"/>
        <v>2</v>
      </c>
      <c r="K174" s="3">
        <f t="shared" si="8"/>
        <v>370</v>
      </c>
      <c r="L174" s="4">
        <f t="shared" si="9"/>
        <v>0.2</v>
      </c>
      <c r="M174" s="3">
        <f t="shared" si="10"/>
        <v>592</v>
      </c>
      <c r="N174" s="3">
        <f t="shared" si="11"/>
        <v>414</v>
      </c>
      <c r="O174" s="3">
        <f t="shared" si="12"/>
        <v>178</v>
      </c>
      <c r="P174" s="3" t="str">
        <f t="shared" si="13"/>
        <v>COD</v>
      </c>
      <c r="Q174" s="3" t="str">
        <f t="shared" si="14"/>
        <v>DELIVERED</v>
      </c>
    </row>
    <row r="175">
      <c r="A175" s="1" t="s">
        <v>560</v>
      </c>
      <c r="B175" s="2">
        <f t="shared" si="1"/>
        <v>46171</v>
      </c>
      <c r="C175" s="1" t="s">
        <v>561</v>
      </c>
      <c r="D175" s="3" t="str">
        <f t="shared" si="2"/>
        <v>SUJI</v>
      </c>
      <c r="E175" s="3" t="str">
        <f t="shared" si="3"/>
        <v>ANDHRA PRADESH</v>
      </c>
      <c r="F175" s="3" t="str">
        <f t="shared" si="4"/>
        <v>TIRUPATI</v>
      </c>
      <c r="G175" s="1" t="s">
        <v>562</v>
      </c>
      <c r="H175" s="3" t="str">
        <f t="shared" si="5"/>
        <v>BEAUTY</v>
      </c>
      <c r="I175" s="3" t="str">
        <f t="shared" si="6"/>
        <v>KAJAL</v>
      </c>
      <c r="J175" s="3">
        <f t="shared" si="7"/>
        <v>2</v>
      </c>
      <c r="K175" s="3">
        <f t="shared" si="8"/>
        <v>450</v>
      </c>
      <c r="L175" s="4">
        <f t="shared" si="9"/>
        <v>0</v>
      </c>
      <c r="M175" s="3">
        <f t="shared" si="10"/>
        <v>900</v>
      </c>
      <c r="N175" s="3">
        <f t="shared" si="11"/>
        <v>630</v>
      </c>
      <c r="O175" s="3">
        <f t="shared" si="12"/>
        <v>270</v>
      </c>
      <c r="P175" s="3" t="str">
        <f t="shared" si="13"/>
        <v>NET BANKING</v>
      </c>
      <c r="Q175" s="3" t="str">
        <f t="shared" si="14"/>
        <v>SHIPPED</v>
      </c>
    </row>
    <row r="176">
      <c r="A176" s="1" t="s">
        <v>563</v>
      </c>
      <c r="B176" s="2">
        <f t="shared" si="1"/>
        <v>46349</v>
      </c>
      <c r="C176" s="1" t="s">
        <v>564</v>
      </c>
      <c r="D176" s="3" t="str">
        <f t="shared" si="2"/>
        <v>RATHA</v>
      </c>
      <c r="E176" s="3" t="str">
        <f t="shared" si="3"/>
        <v>TELUGANA</v>
      </c>
      <c r="F176" s="3" t="str">
        <f t="shared" si="4"/>
        <v>HYDERABAD</v>
      </c>
      <c r="G176" s="1" t="s">
        <v>565</v>
      </c>
      <c r="H176" s="3" t="str">
        <f t="shared" si="5"/>
        <v>HOME &amp; KITCHEN</v>
      </c>
      <c r="I176" s="3" t="str">
        <f t="shared" si="6"/>
        <v>MIXER GRAINDER</v>
      </c>
      <c r="J176" s="3">
        <f t="shared" si="7"/>
        <v>5</v>
      </c>
      <c r="K176" s="3">
        <f t="shared" si="8"/>
        <v>121</v>
      </c>
      <c r="L176" s="4">
        <f t="shared" si="9"/>
        <v>0.2</v>
      </c>
      <c r="M176" s="3">
        <f t="shared" si="10"/>
        <v>484</v>
      </c>
      <c r="N176" s="3">
        <f t="shared" si="11"/>
        <v>339</v>
      </c>
      <c r="O176" s="3">
        <f t="shared" si="12"/>
        <v>145</v>
      </c>
      <c r="P176" s="3" t="str">
        <f t="shared" si="13"/>
        <v>WALLET</v>
      </c>
      <c r="Q176" s="3" t="str">
        <f t="shared" si="14"/>
        <v>CANCELLED</v>
      </c>
    </row>
    <row r="177">
      <c r="A177" s="1" t="s">
        <v>566</v>
      </c>
      <c r="B177" s="2">
        <f t="shared" si="1"/>
        <v>46174</v>
      </c>
      <c r="C177" s="1" t="s">
        <v>567</v>
      </c>
      <c r="D177" s="3" t="str">
        <f t="shared" si="2"/>
        <v>SUSA</v>
      </c>
      <c r="E177" s="3" t="str">
        <f t="shared" si="3"/>
        <v>UTTHRA PRADESH</v>
      </c>
      <c r="F177" s="3" t="str">
        <f t="shared" si="4"/>
        <v>LUCKNOW</v>
      </c>
      <c r="G177" s="1" t="s">
        <v>568</v>
      </c>
      <c r="H177" s="3" t="str">
        <f t="shared" si="5"/>
        <v>BOOKS</v>
      </c>
      <c r="I177" s="3" t="str">
        <f t="shared" si="6"/>
        <v>LIFE OF PI</v>
      </c>
      <c r="J177" s="3">
        <f t="shared" si="7"/>
        <v>1</v>
      </c>
      <c r="K177" s="3">
        <f t="shared" si="8"/>
        <v>593</v>
      </c>
      <c r="L177" s="4">
        <f t="shared" si="9"/>
        <v>0.5</v>
      </c>
      <c r="M177" s="3">
        <f t="shared" si="10"/>
        <v>296.5</v>
      </c>
      <c r="N177" s="3">
        <f t="shared" si="11"/>
        <v>208</v>
      </c>
      <c r="O177" s="3">
        <f t="shared" si="12"/>
        <v>89</v>
      </c>
      <c r="P177" s="3" t="str">
        <f t="shared" si="13"/>
        <v>UPI</v>
      </c>
      <c r="Q177" s="3" t="str">
        <f t="shared" si="14"/>
        <v>RETURNED</v>
      </c>
    </row>
    <row r="178">
      <c r="A178" s="1" t="s">
        <v>569</v>
      </c>
      <c r="B178" s="2">
        <f t="shared" si="1"/>
        <v>46132</v>
      </c>
      <c r="C178" s="1" t="s">
        <v>570</v>
      </c>
      <c r="D178" s="3" t="str">
        <f t="shared" si="2"/>
        <v>NIVE</v>
      </c>
      <c r="E178" s="3" t="str">
        <f t="shared" si="3"/>
        <v>GUJARAT</v>
      </c>
      <c r="F178" s="3" t="str">
        <f t="shared" si="4"/>
        <v>SURAT</v>
      </c>
      <c r="G178" s="1" t="s">
        <v>571</v>
      </c>
      <c r="H178" s="3" t="str">
        <f t="shared" si="5"/>
        <v>ACCESSORIES</v>
      </c>
      <c r="I178" s="3" t="str">
        <f t="shared" si="6"/>
        <v>EARRINGS</v>
      </c>
      <c r="J178" s="3">
        <f t="shared" si="7"/>
        <v>5</v>
      </c>
      <c r="K178" s="3">
        <f t="shared" si="8"/>
        <v>363</v>
      </c>
      <c r="L178" s="4">
        <f t="shared" si="9"/>
        <v>0.5</v>
      </c>
      <c r="M178" s="3">
        <f t="shared" si="10"/>
        <v>907.5</v>
      </c>
      <c r="N178" s="3">
        <f t="shared" si="11"/>
        <v>635</v>
      </c>
      <c r="O178" s="3">
        <f t="shared" si="12"/>
        <v>273</v>
      </c>
      <c r="P178" s="3" t="str">
        <f t="shared" si="13"/>
        <v>CARD</v>
      </c>
      <c r="Q178" s="3" t="str">
        <f t="shared" si="14"/>
        <v>DELIVERED</v>
      </c>
    </row>
    <row r="179">
      <c r="A179" s="1" t="s">
        <v>572</v>
      </c>
      <c r="B179" s="2">
        <f t="shared" si="1"/>
        <v>46120</v>
      </c>
      <c r="C179" s="1" t="s">
        <v>573</v>
      </c>
      <c r="D179" s="3" t="str">
        <f t="shared" si="2"/>
        <v>VINO</v>
      </c>
      <c r="E179" s="3" t="str">
        <f t="shared" si="3"/>
        <v>RAJASTHAN</v>
      </c>
      <c r="F179" s="3" t="str">
        <f t="shared" si="4"/>
        <v>JAIPUR</v>
      </c>
      <c r="G179" s="1" t="s">
        <v>574</v>
      </c>
      <c r="H179" s="3" t="str">
        <f t="shared" si="5"/>
        <v>ELECTRONICS</v>
      </c>
      <c r="I179" s="3" t="str">
        <f t="shared" si="6"/>
        <v>WIRELESS EARBUDS</v>
      </c>
      <c r="J179" s="3">
        <f t="shared" si="7"/>
        <v>3</v>
      </c>
      <c r="K179" s="3">
        <f t="shared" si="8"/>
        <v>328</v>
      </c>
      <c r="L179" s="4">
        <f t="shared" si="9"/>
        <v>0.1</v>
      </c>
      <c r="M179" s="3">
        <f t="shared" si="10"/>
        <v>885.6</v>
      </c>
      <c r="N179" s="3">
        <f t="shared" si="11"/>
        <v>620</v>
      </c>
      <c r="O179" s="3">
        <f t="shared" si="12"/>
        <v>266</v>
      </c>
      <c r="P179" s="3" t="str">
        <f t="shared" si="13"/>
        <v>COD</v>
      </c>
      <c r="Q179" s="3" t="str">
        <f t="shared" si="14"/>
        <v>SHIPPED</v>
      </c>
    </row>
    <row r="180">
      <c r="A180" s="1" t="s">
        <v>575</v>
      </c>
      <c r="B180" s="2">
        <f t="shared" si="1"/>
        <v>46321</v>
      </c>
      <c r="C180" s="1" t="s">
        <v>576</v>
      </c>
      <c r="D180" s="3" t="str">
        <f t="shared" si="2"/>
        <v>ABI</v>
      </c>
      <c r="E180" s="3" t="str">
        <f t="shared" si="3"/>
        <v>WEST BENGAL</v>
      </c>
      <c r="F180" s="3" t="str">
        <f t="shared" si="4"/>
        <v>KOLKATA</v>
      </c>
      <c r="G180" s="1" t="s">
        <v>577</v>
      </c>
      <c r="H180" s="3" t="str">
        <f t="shared" si="5"/>
        <v>SPORTS</v>
      </c>
      <c r="I180" s="3" t="str">
        <f t="shared" si="6"/>
        <v>FOOTBALL</v>
      </c>
      <c r="J180" s="3">
        <f t="shared" si="7"/>
        <v>3</v>
      </c>
      <c r="K180" s="3">
        <f t="shared" si="8"/>
        <v>229</v>
      </c>
      <c r="L180" s="4">
        <f t="shared" si="9"/>
        <v>0.15</v>
      </c>
      <c r="M180" s="3">
        <f t="shared" si="10"/>
        <v>583.95</v>
      </c>
      <c r="N180" s="3">
        <f t="shared" si="11"/>
        <v>409</v>
      </c>
      <c r="O180" s="3">
        <f t="shared" si="12"/>
        <v>175</v>
      </c>
      <c r="P180" s="3" t="str">
        <f t="shared" si="13"/>
        <v>NET BANKING</v>
      </c>
      <c r="Q180" s="3" t="str">
        <f t="shared" si="14"/>
        <v>CANCELLED</v>
      </c>
    </row>
    <row r="181">
      <c r="A181" s="1" t="s">
        <v>578</v>
      </c>
      <c r="B181" s="2">
        <f t="shared" si="1"/>
        <v>46248</v>
      </c>
      <c r="C181" s="1" t="s">
        <v>579</v>
      </c>
      <c r="D181" s="3" t="str">
        <f t="shared" si="2"/>
        <v>NIHAAR</v>
      </c>
      <c r="E181" s="3" t="str">
        <f t="shared" si="3"/>
        <v>MAGARASTRA</v>
      </c>
      <c r="F181" s="3" t="str">
        <f t="shared" si="4"/>
        <v>PUNE</v>
      </c>
      <c r="G181" s="1" t="s">
        <v>580</v>
      </c>
      <c r="H181" s="3" t="str">
        <f t="shared" si="5"/>
        <v>FOOD</v>
      </c>
      <c r="I181" s="3" t="str">
        <f t="shared" si="6"/>
        <v>BIRIYANI</v>
      </c>
      <c r="J181" s="3">
        <f t="shared" si="7"/>
        <v>3</v>
      </c>
      <c r="K181" s="3">
        <f t="shared" si="8"/>
        <v>277</v>
      </c>
      <c r="L181" s="4">
        <f t="shared" si="9"/>
        <v>0.17</v>
      </c>
      <c r="M181" s="3">
        <f t="shared" si="10"/>
        <v>689.73</v>
      </c>
      <c r="N181" s="3">
        <f t="shared" si="11"/>
        <v>483</v>
      </c>
      <c r="O181" s="3">
        <f t="shared" si="12"/>
        <v>207</v>
      </c>
      <c r="P181" s="3" t="str">
        <f t="shared" si="13"/>
        <v>WALLET</v>
      </c>
      <c r="Q181" s="3" t="str">
        <f t="shared" si="14"/>
        <v>RETURNED</v>
      </c>
    </row>
    <row r="182">
      <c r="A182" s="1" t="s">
        <v>581</v>
      </c>
      <c r="B182" s="2">
        <f t="shared" si="1"/>
        <v>46254</v>
      </c>
      <c r="C182" s="1" t="s">
        <v>582</v>
      </c>
      <c r="D182" s="3" t="str">
        <f t="shared" si="2"/>
        <v>SRI</v>
      </c>
      <c r="E182" s="3" t="str">
        <f t="shared" si="3"/>
        <v>TAMILNADU</v>
      </c>
      <c r="F182" s="3" t="str">
        <f t="shared" si="4"/>
        <v>THOOTHUKUDI</v>
      </c>
      <c r="G182" s="1" t="s">
        <v>583</v>
      </c>
      <c r="H182" s="3" t="str">
        <f t="shared" si="5"/>
        <v>DRESS</v>
      </c>
      <c r="I182" s="3" t="str">
        <f t="shared" si="6"/>
        <v>WOMEN WAERS</v>
      </c>
      <c r="J182" s="3">
        <f t="shared" si="7"/>
        <v>4</v>
      </c>
      <c r="K182" s="3">
        <f t="shared" si="8"/>
        <v>235</v>
      </c>
      <c r="L182" s="4">
        <f t="shared" si="9"/>
        <v>0.1</v>
      </c>
      <c r="M182" s="3">
        <f t="shared" si="10"/>
        <v>846</v>
      </c>
      <c r="N182" s="3">
        <f t="shared" si="11"/>
        <v>592</v>
      </c>
      <c r="O182" s="3">
        <f t="shared" si="12"/>
        <v>254</v>
      </c>
      <c r="P182" s="3" t="str">
        <f t="shared" si="13"/>
        <v>UPI</v>
      </c>
      <c r="Q182" s="3" t="str">
        <f t="shared" si="14"/>
        <v>DELIVERED</v>
      </c>
    </row>
    <row r="183">
      <c r="A183" s="1" t="s">
        <v>584</v>
      </c>
      <c r="B183" s="2">
        <f t="shared" si="1"/>
        <v>46372</v>
      </c>
      <c r="C183" s="1" t="s">
        <v>585</v>
      </c>
      <c r="D183" s="3" t="str">
        <f t="shared" si="2"/>
        <v>SHOBN</v>
      </c>
      <c r="E183" s="3" t="str">
        <f t="shared" si="3"/>
        <v>KERALA</v>
      </c>
      <c r="F183" s="3" t="str">
        <f t="shared" si="4"/>
        <v>KOCHI</v>
      </c>
      <c r="G183" s="1" t="s">
        <v>586</v>
      </c>
      <c r="H183" s="3" t="str">
        <f t="shared" si="5"/>
        <v>BEAUTY</v>
      </c>
      <c r="I183" s="3" t="str">
        <f t="shared" si="6"/>
        <v>KAJAL</v>
      </c>
      <c r="J183" s="3">
        <f t="shared" si="7"/>
        <v>4</v>
      </c>
      <c r="K183" s="3">
        <f t="shared" si="8"/>
        <v>196</v>
      </c>
      <c r="L183" s="4">
        <f t="shared" si="9"/>
        <v>0.15</v>
      </c>
      <c r="M183" s="3">
        <f t="shared" si="10"/>
        <v>666.4</v>
      </c>
      <c r="N183" s="3">
        <f t="shared" si="11"/>
        <v>466</v>
      </c>
      <c r="O183" s="3">
        <f t="shared" si="12"/>
        <v>200</v>
      </c>
      <c r="P183" s="3" t="str">
        <f t="shared" si="13"/>
        <v>CARD</v>
      </c>
      <c r="Q183" s="3" t="str">
        <f t="shared" si="14"/>
        <v>SHIPPED</v>
      </c>
    </row>
    <row r="184">
      <c r="A184" s="1" t="s">
        <v>587</v>
      </c>
      <c r="B184" s="2">
        <f t="shared" si="1"/>
        <v>46199</v>
      </c>
      <c r="C184" s="1" t="s">
        <v>588</v>
      </c>
      <c r="D184" s="3" t="str">
        <f t="shared" si="2"/>
        <v>SOBI</v>
      </c>
      <c r="E184" s="3" t="str">
        <f t="shared" si="3"/>
        <v>KARNATAKA</v>
      </c>
      <c r="F184" s="3" t="str">
        <f t="shared" si="4"/>
        <v>BANGALURU</v>
      </c>
      <c r="G184" s="1" t="s">
        <v>589</v>
      </c>
      <c r="H184" s="3" t="str">
        <f t="shared" si="5"/>
        <v>HOME &amp; KITCHEN</v>
      </c>
      <c r="I184" s="3" t="str">
        <f t="shared" si="6"/>
        <v>MIXER GRAINDER</v>
      </c>
      <c r="J184" s="3">
        <f t="shared" si="7"/>
        <v>5</v>
      </c>
      <c r="K184" s="3">
        <f t="shared" si="8"/>
        <v>128</v>
      </c>
      <c r="L184" s="4">
        <f t="shared" si="9"/>
        <v>0.15</v>
      </c>
      <c r="M184" s="3">
        <f t="shared" si="10"/>
        <v>544</v>
      </c>
      <c r="N184" s="3">
        <f t="shared" si="11"/>
        <v>381</v>
      </c>
      <c r="O184" s="3">
        <f t="shared" si="12"/>
        <v>163</v>
      </c>
      <c r="P184" s="3" t="str">
        <f t="shared" si="13"/>
        <v>COD</v>
      </c>
      <c r="Q184" s="3" t="str">
        <f t="shared" si="14"/>
        <v>CANCELLED</v>
      </c>
    </row>
    <row r="185">
      <c r="A185" s="1" t="s">
        <v>590</v>
      </c>
      <c r="B185" s="2">
        <f t="shared" si="1"/>
        <v>46128</v>
      </c>
      <c r="C185" s="1" t="s">
        <v>591</v>
      </c>
      <c r="D185" s="3" t="str">
        <f t="shared" si="2"/>
        <v>SUJI</v>
      </c>
      <c r="E185" s="3" t="str">
        <f t="shared" si="3"/>
        <v>ANDHRA PRADESH</v>
      </c>
      <c r="F185" s="3" t="str">
        <f t="shared" si="4"/>
        <v>TIRUPATI</v>
      </c>
      <c r="G185" s="1" t="s">
        <v>592</v>
      </c>
      <c r="H185" s="3" t="str">
        <f t="shared" si="5"/>
        <v>BOOKS</v>
      </c>
      <c r="I185" s="3" t="str">
        <f t="shared" si="6"/>
        <v>LIFE OF PI</v>
      </c>
      <c r="J185" s="3">
        <f t="shared" si="7"/>
        <v>3</v>
      </c>
      <c r="K185" s="3">
        <f t="shared" si="8"/>
        <v>483</v>
      </c>
      <c r="L185" s="4">
        <f t="shared" si="9"/>
        <v>0.1</v>
      </c>
      <c r="M185" s="3">
        <f t="shared" si="10"/>
        <v>1304.1</v>
      </c>
      <c r="N185" s="3">
        <f t="shared" si="11"/>
        <v>913</v>
      </c>
      <c r="O185" s="3">
        <f t="shared" si="12"/>
        <v>391</v>
      </c>
      <c r="P185" s="3" t="str">
        <f t="shared" si="13"/>
        <v>NET BANKING</v>
      </c>
      <c r="Q185" s="3" t="str">
        <f t="shared" si="14"/>
        <v>RETURNED</v>
      </c>
    </row>
    <row r="186">
      <c r="A186" s="1" t="s">
        <v>593</v>
      </c>
      <c r="B186" s="2">
        <f t="shared" si="1"/>
        <v>46069</v>
      </c>
      <c r="C186" s="1" t="s">
        <v>594</v>
      </c>
      <c r="D186" s="3" t="str">
        <f t="shared" si="2"/>
        <v>RATHA</v>
      </c>
      <c r="E186" s="3" t="str">
        <f t="shared" si="3"/>
        <v>TELUGANA</v>
      </c>
      <c r="F186" s="3" t="str">
        <f t="shared" si="4"/>
        <v>HYDERABAD</v>
      </c>
      <c r="G186" s="1" t="s">
        <v>595</v>
      </c>
      <c r="H186" s="3" t="str">
        <f t="shared" si="5"/>
        <v>ACCESSORIES</v>
      </c>
      <c r="I186" s="3" t="str">
        <f t="shared" si="6"/>
        <v>EARRINGS</v>
      </c>
      <c r="J186" s="3">
        <f t="shared" si="7"/>
        <v>2</v>
      </c>
      <c r="K186" s="3">
        <f t="shared" si="8"/>
        <v>239</v>
      </c>
      <c r="L186" s="4">
        <f t="shared" si="9"/>
        <v>0.1</v>
      </c>
      <c r="M186" s="3">
        <f t="shared" si="10"/>
        <v>430.2</v>
      </c>
      <c r="N186" s="3">
        <f t="shared" si="11"/>
        <v>301</v>
      </c>
      <c r="O186" s="3">
        <f t="shared" si="12"/>
        <v>129</v>
      </c>
      <c r="P186" s="3" t="str">
        <f t="shared" si="13"/>
        <v>WALLET</v>
      </c>
      <c r="Q186" s="3" t="str">
        <f t="shared" si="14"/>
        <v>DELIVERED</v>
      </c>
    </row>
    <row r="187">
      <c r="A187" s="1" t="s">
        <v>596</v>
      </c>
      <c r="B187" s="2">
        <f t="shared" si="1"/>
        <v>46265</v>
      </c>
      <c r="C187" s="1" t="s">
        <v>597</v>
      </c>
      <c r="D187" s="3" t="str">
        <f t="shared" si="2"/>
        <v>SUSA</v>
      </c>
      <c r="E187" s="3" t="str">
        <f t="shared" si="3"/>
        <v>UTTHRA PRADESH</v>
      </c>
      <c r="F187" s="3" t="str">
        <f t="shared" si="4"/>
        <v>LUCKNOW</v>
      </c>
      <c r="G187" s="1" t="s">
        <v>598</v>
      </c>
      <c r="H187" s="3" t="str">
        <f t="shared" si="5"/>
        <v>ELECTRONICS</v>
      </c>
      <c r="I187" s="3" t="str">
        <f t="shared" si="6"/>
        <v>WIRELESS EARBUDS</v>
      </c>
      <c r="J187" s="3">
        <f t="shared" si="7"/>
        <v>2</v>
      </c>
      <c r="K187" s="3">
        <f t="shared" si="8"/>
        <v>345</v>
      </c>
      <c r="L187" s="4">
        <f t="shared" si="9"/>
        <v>0.1</v>
      </c>
      <c r="M187" s="3">
        <f t="shared" si="10"/>
        <v>621</v>
      </c>
      <c r="N187" s="3">
        <f t="shared" si="11"/>
        <v>435</v>
      </c>
      <c r="O187" s="3">
        <f t="shared" si="12"/>
        <v>186</v>
      </c>
      <c r="P187" s="3" t="str">
        <f t="shared" si="13"/>
        <v>UPI</v>
      </c>
      <c r="Q187" s="3" t="str">
        <f t="shared" si="14"/>
        <v>SHIPPED</v>
      </c>
    </row>
    <row r="188">
      <c r="A188" s="1" t="s">
        <v>599</v>
      </c>
      <c r="B188" s="2">
        <f t="shared" si="1"/>
        <v>46296</v>
      </c>
      <c r="C188" s="1" t="s">
        <v>600</v>
      </c>
      <c r="D188" s="3" t="str">
        <f t="shared" si="2"/>
        <v>NIVE</v>
      </c>
      <c r="E188" s="3" t="str">
        <f t="shared" si="3"/>
        <v>GUJARAT</v>
      </c>
      <c r="F188" s="3" t="str">
        <f t="shared" si="4"/>
        <v>SURAT</v>
      </c>
      <c r="G188" s="1" t="s">
        <v>601</v>
      </c>
      <c r="H188" s="3" t="str">
        <f t="shared" si="5"/>
        <v>SPORTS</v>
      </c>
      <c r="I188" s="3" t="str">
        <f t="shared" si="6"/>
        <v>FOOTBALL</v>
      </c>
      <c r="J188" s="3">
        <f t="shared" si="7"/>
        <v>1</v>
      </c>
      <c r="K188" s="3">
        <f t="shared" si="8"/>
        <v>319</v>
      </c>
      <c r="L188" s="4">
        <f t="shared" si="9"/>
        <v>0.1</v>
      </c>
      <c r="M188" s="3">
        <f t="shared" si="10"/>
        <v>287.1</v>
      </c>
      <c r="N188" s="3">
        <f t="shared" si="11"/>
        <v>201</v>
      </c>
      <c r="O188" s="3">
        <f t="shared" si="12"/>
        <v>86</v>
      </c>
      <c r="P188" s="3" t="str">
        <f t="shared" si="13"/>
        <v>CARD</v>
      </c>
      <c r="Q188" s="3" t="str">
        <f t="shared" si="14"/>
        <v>CANCELLED</v>
      </c>
    </row>
    <row r="189">
      <c r="A189" s="1" t="s">
        <v>602</v>
      </c>
      <c r="B189" s="2">
        <f t="shared" si="1"/>
        <v>46088</v>
      </c>
      <c r="C189" s="1" t="s">
        <v>603</v>
      </c>
      <c r="D189" s="3" t="str">
        <f t="shared" si="2"/>
        <v>VINO</v>
      </c>
      <c r="E189" s="3" t="str">
        <f t="shared" si="3"/>
        <v>RAJASTHAN</v>
      </c>
      <c r="F189" s="3" t="str">
        <f t="shared" si="4"/>
        <v>JAIPUR</v>
      </c>
      <c r="G189" s="1" t="s">
        <v>604</v>
      </c>
      <c r="H189" s="3" t="str">
        <f t="shared" si="5"/>
        <v>FOOD</v>
      </c>
      <c r="I189" s="3" t="str">
        <f t="shared" si="6"/>
        <v>BIRIYANI</v>
      </c>
      <c r="J189" s="3">
        <f t="shared" si="7"/>
        <v>1</v>
      </c>
      <c r="K189" s="3">
        <f t="shared" si="8"/>
        <v>599</v>
      </c>
      <c r="L189" s="4">
        <f t="shared" si="9"/>
        <v>0.1</v>
      </c>
      <c r="M189" s="3">
        <f t="shared" si="10"/>
        <v>539.1</v>
      </c>
      <c r="N189" s="3">
        <f t="shared" si="11"/>
        <v>377</v>
      </c>
      <c r="O189" s="3">
        <f t="shared" si="12"/>
        <v>162</v>
      </c>
      <c r="P189" s="3" t="str">
        <f t="shared" si="13"/>
        <v>COD</v>
      </c>
      <c r="Q189" s="3" t="str">
        <f t="shared" si="14"/>
        <v>RETURNED</v>
      </c>
    </row>
    <row r="190">
      <c r="A190" s="1" t="s">
        <v>605</v>
      </c>
      <c r="B190" s="2">
        <f t="shared" si="1"/>
        <v>46099</v>
      </c>
      <c r="C190" s="1" t="s">
        <v>606</v>
      </c>
      <c r="D190" s="3" t="str">
        <f t="shared" si="2"/>
        <v>ABI</v>
      </c>
      <c r="E190" s="3" t="str">
        <f t="shared" si="3"/>
        <v>WEST BENGAL</v>
      </c>
      <c r="F190" s="3" t="str">
        <f t="shared" si="4"/>
        <v>KOLKATA</v>
      </c>
      <c r="G190" s="1" t="s">
        <v>607</v>
      </c>
      <c r="H190" s="3" t="str">
        <f t="shared" si="5"/>
        <v>DRESS</v>
      </c>
      <c r="I190" s="3" t="str">
        <f t="shared" si="6"/>
        <v>WOMEN WAERS</v>
      </c>
      <c r="J190" s="3">
        <f t="shared" si="7"/>
        <v>1</v>
      </c>
      <c r="K190" s="3">
        <f t="shared" si="8"/>
        <v>436</v>
      </c>
      <c r="L190" s="4">
        <f t="shared" si="9"/>
        <v>0.17</v>
      </c>
      <c r="M190" s="3">
        <f t="shared" si="10"/>
        <v>361.88</v>
      </c>
      <c r="N190" s="3">
        <f t="shared" si="11"/>
        <v>253</v>
      </c>
      <c r="O190" s="3">
        <f t="shared" si="12"/>
        <v>109</v>
      </c>
      <c r="P190" s="3" t="str">
        <f t="shared" si="13"/>
        <v>NET BANKING</v>
      </c>
      <c r="Q190" s="3" t="str">
        <f t="shared" si="14"/>
        <v>DELIVERED</v>
      </c>
    </row>
    <row r="191">
      <c r="A191" s="1" t="s">
        <v>608</v>
      </c>
      <c r="B191" s="2">
        <f t="shared" si="1"/>
        <v>46078</v>
      </c>
      <c r="C191" s="1" t="s">
        <v>609</v>
      </c>
      <c r="D191" s="3" t="str">
        <f t="shared" si="2"/>
        <v>NIHAAR</v>
      </c>
      <c r="E191" s="3" t="str">
        <f t="shared" si="3"/>
        <v>MAGARASTRA</v>
      </c>
      <c r="F191" s="3" t="str">
        <f t="shared" si="4"/>
        <v>PUNE</v>
      </c>
      <c r="G191" s="1" t="s">
        <v>610</v>
      </c>
      <c r="H191" s="3" t="str">
        <f t="shared" si="5"/>
        <v>BEAUTY</v>
      </c>
      <c r="I191" s="3" t="str">
        <f t="shared" si="6"/>
        <v>KAJAL</v>
      </c>
      <c r="J191" s="3">
        <f t="shared" si="7"/>
        <v>1</v>
      </c>
      <c r="K191" s="3">
        <f t="shared" si="8"/>
        <v>152</v>
      </c>
      <c r="L191" s="4">
        <f t="shared" si="9"/>
        <v>0.15</v>
      </c>
      <c r="M191" s="3">
        <f t="shared" si="10"/>
        <v>129.2</v>
      </c>
      <c r="N191" s="3">
        <f t="shared" si="11"/>
        <v>90</v>
      </c>
      <c r="O191" s="3">
        <f t="shared" si="12"/>
        <v>39</v>
      </c>
      <c r="P191" s="3" t="str">
        <f t="shared" si="13"/>
        <v>WALLET</v>
      </c>
      <c r="Q191" s="3" t="str">
        <f t="shared" si="14"/>
        <v>SHIPPED</v>
      </c>
    </row>
    <row r="192">
      <c r="A192" s="1" t="s">
        <v>611</v>
      </c>
      <c r="B192" s="2">
        <f t="shared" si="1"/>
        <v>46123</v>
      </c>
      <c r="C192" s="1" t="s">
        <v>612</v>
      </c>
      <c r="D192" s="3" t="str">
        <f t="shared" si="2"/>
        <v>SRI</v>
      </c>
      <c r="E192" s="3" t="str">
        <f t="shared" si="3"/>
        <v>TAMILNADU</v>
      </c>
      <c r="F192" s="3" t="str">
        <f t="shared" si="4"/>
        <v>THOOTHUKUDI</v>
      </c>
      <c r="G192" s="1" t="s">
        <v>613</v>
      </c>
      <c r="H192" s="3" t="str">
        <f t="shared" si="5"/>
        <v>HOME &amp; KITCHEN</v>
      </c>
      <c r="I192" s="3" t="str">
        <f t="shared" si="6"/>
        <v>MIXER GRAINDER</v>
      </c>
      <c r="J192" s="3">
        <f t="shared" si="7"/>
        <v>1</v>
      </c>
      <c r="K192" s="3">
        <f t="shared" si="8"/>
        <v>248</v>
      </c>
      <c r="L192" s="4">
        <f t="shared" si="9"/>
        <v>0.5</v>
      </c>
      <c r="M192" s="3">
        <f t="shared" si="10"/>
        <v>124</v>
      </c>
      <c r="N192" s="3">
        <f t="shared" si="11"/>
        <v>87</v>
      </c>
      <c r="O192" s="3">
        <f t="shared" si="12"/>
        <v>37</v>
      </c>
      <c r="P192" s="3" t="str">
        <f t="shared" si="13"/>
        <v>UPI</v>
      </c>
      <c r="Q192" s="3" t="str">
        <f t="shared" si="14"/>
        <v>CANCELLED</v>
      </c>
    </row>
    <row r="193">
      <c r="A193" s="1" t="s">
        <v>614</v>
      </c>
      <c r="B193" s="2">
        <f t="shared" si="1"/>
        <v>46247</v>
      </c>
      <c r="C193" s="1" t="s">
        <v>615</v>
      </c>
      <c r="D193" s="3" t="str">
        <f t="shared" si="2"/>
        <v>SHOBN</v>
      </c>
      <c r="E193" s="3" t="str">
        <f t="shared" si="3"/>
        <v>KERALA</v>
      </c>
      <c r="F193" s="3" t="str">
        <f t="shared" si="4"/>
        <v>KOCHI</v>
      </c>
      <c r="G193" s="1" t="s">
        <v>616</v>
      </c>
      <c r="H193" s="3" t="str">
        <f t="shared" si="5"/>
        <v>BOOKS</v>
      </c>
      <c r="I193" s="3" t="str">
        <f t="shared" si="6"/>
        <v>LIFE OF PI</v>
      </c>
      <c r="J193" s="3">
        <f t="shared" si="7"/>
        <v>3</v>
      </c>
      <c r="K193" s="3">
        <f t="shared" si="8"/>
        <v>529</v>
      </c>
      <c r="L193" s="4">
        <f t="shared" si="9"/>
        <v>0.15</v>
      </c>
      <c r="M193" s="3">
        <f t="shared" si="10"/>
        <v>1348.95</v>
      </c>
      <c r="N193" s="3">
        <f t="shared" si="11"/>
        <v>944</v>
      </c>
      <c r="O193" s="3">
        <f t="shared" si="12"/>
        <v>405</v>
      </c>
      <c r="P193" s="3" t="str">
        <f t="shared" si="13"/>
        <v>CARD</v>
      </c>
      <c r="Q193" s="3" t="str">
        <f t="shared" si="14"/>
        <v>RETURNED</v>
      </c>
    </row>
    <row r="194">
      <c r="A194" s="1" t="s">
        <v>617</v>
      </c>
      <c r="B194" s="2">
        <f t="shared" si="1"/>
        <v>46043</v>
      </c>
      <c r="C194" s="1" t="s">
        <v>618</v>
      </c>
      <c r="D194" s="3" t="str">
        <f t="shared" si="2"/>
        <v>SOBI</v>
      </c>
      <c r="E194" s="3" t="str">
        <f t="shared" si="3"/>
        <v>KARNATAKA</v>
      </c>
      <c r="F194" s="3" t="str">
        <f t="shared" si="4"/>
        <v>BANGALURU</v>
      </c>
      <c r="G194" s="1" t="s">
        <v>619</v>
      </c>
      <c r="H194" s="3" t="str">
        <f t="shared" si="5"/>
        <v>ACCESSORIES</v>
      </c>
      <c r="I194" s="3" t="str">
        <f t="shared" si="6"/>
        <v>EARRINGS</v>
      </c>
      <c r="J194" s="3">
        <f t="shared" si="7"/>
        <v>2</v>
      </c>
      <c r="K194" s="3">
        <f t="shared" si="8"/>
        <v>535</v>
      </c>
      <c r="L194" s="4">
        <f t="shared" si="9"/>
        <v>0.1</v>
      </c>
      <c r="M194" s="3">
        <f t="shared" si="10"/>
        <v>963</v>
      </c>
      <c r="N194" s="3">
        <f t="shared" si="11"/>
        <v>674</v>
      </c>
      <c r="O194" s="3">
        <f t="shared" si="12"/>
        <v>289</v>
      </c>
      <c r="P194" s="3" t="str">
        <f t="shared" si="13"/>
        <v>COD</v>
      </c>
      <c r="Q194" s="3" t="str">
        <f t="shared" si="14"/>
        <v>DELIVERED</v>
      </c>
    </row>
    <row r="195">
      <c r="A195" s="1" t="s">
        <v>620</v>
      </c>
      <c r="B195" s="2">
        <f t="shared" si="1"/>
        <v>46194</v>
      </c>
      <c r="C195" s="1" t="s">
        <v>621</v>
      </c>
      <c r="D195" s="3" t="str">
        <f t="shared" si="2"/>
        <v>SUJI</v>
      </c>
      <c r="E195" s="3" t="str">
        <f t="shared" si="3"/>
        <v>ANDHRA PRADESH</v>
      </c>
      <c r="F195" s="3" t="str">
        <f t="shared" si="4"/>
        <v>TIRUPATI</v>
      </c>
      <c r="G195" s="1" t="s">
        <v>622</v>
      </c>
      <c r="H195" s="3" t="str">
        <f t="shared" si="5"/>
        <v>ELECTRONICS</v>
      </c>
      <c r="I195" s="3" t="str">
        <f t="shared" si="6"/>
        <v>WIRELESS EARBUDS</v>
      </c>
      <c r="J195" s="3">
        <f t="shared" si="7"/>
        <v>3</v>
      </c>
      <c r="K195" s="3">
        <f t="shared" si="8"/>
        <v>218</v>
      </c>
      <c r="L195" s="4">
        <f t="shared" si="9"/>
        <v>0.5</v>
      </c>
      <c r="M195" s="3">
        <f t="shared" si="10"/>
        <v>327</v>
      </c>
      <c r="N195" s="3">
        <f t="shared" si="11"/>
        <v>229</v>
      </c>
      <c r="O195" s="3">
        <f t="shared" si="12"/>
        <v>98</v>
      </c>
      <c r="P195" s="3" t="str">
        <f t="shared" si="13"/>
        <v>NET BANKING</v>
      </c>
      <c r="Q195" s="3" t="str">
        <f t="shared" si="14"/>
        <v>SHIPPED</v>
      </c>
    </row>
    <row r="196">
      <c r="A196" s="1" t="s">
        <v>623</v>
      </c>
      <c r="B196" s="2">
        <f t="shared" si="1"/>
        <v>46094</v>
      </c>
      <c r="C196" s="1" t="s">
        <v>624</v>
      </c>
      <c r="D196" s="3" t="str">
        <f t="shared" si="2"/>
        <v>RATHA</v>
      </c>
      <c r="E196" s="3" t="str">
        <f t="shared" si="3"/>
        <v>TELUGANA</v>
      </c>
      <c r="F196" s="3" t="str">
        <f t="shared" si="4"/>
        <v>HYDERABAD</v>
      </c>
      <c r="G196" s="1" t="s">
        <v>625</v>
      </c>
      <c r="H196" s="3" t="str">
        <f t="shared" si="5"/>
        <v>SPORTS</v>
      </c>
      <c r="I196" s="3" t="str">
        <f t="shared" si="6"/>
        <v>FOOTBALL</v>
      </c>
      <c r="J196" s="3">
        <f t="shared" si="7"/>
        <v>4</v>
      </c>
      <c r="K196" s="3">
        <f t="shared" si="8"/>
        <v>542</v>
      </c>
      <c r="L196" s="4">
        <f t="shared" si="9"/>
        <v>0.2</v>
      </c>
      <c r="M196" s="3">
        <f t="shared" si="10"/>
        <v>1734.4</v>
      </c>
      <c r="N196" s="3">
        <f t="shared" si="11"/>
        <v>1214</v>
      </c>
      <c r="O196" s="3">
        <f t="shared" si="12"/>
        <v>520</v>
      </c>
      <c r="P196" s="3" t="str">
        <f t="shared" si="13"/>
        <v>WALLET</v>
      </c>
      <c r="Q196" s="3" t="str">
        <f t="shared" si="14"/>
        <v>CANCELLED</v>
      </c>
    </row>
    <row r="197">
      <c r="A197" s="1" t="s">
        <v>626</v>
      </c>
      <c r="B197" s="2">
        <f t="shared" si="1"/>
        <v>46261</v>
      </c>
      <c r="C197" s="1" t="s">
        <v>627</v>
      </c>
      <c r="D197" s="3" t="str">
        <f t="shared" si="2"/>
        <v>SUSA</v>
      </c>
      <c r="E197" s="3" t="str">
        <f t="shared" si="3"/>
        <v>UTTHRA PRADESH</v>
      </c>
      <c r="F197" s="3" t="str">
        <f t="shared" si="4"/>
        <v>LUCKNOW</v>
      </c>
      <c r="G197" s="1" t="s">
        <v>628</v>
      </c>
      <c r="H197" s="3" t="str">
        <f t="shared" si="5"/>
        <v>FOOD</v>
      </c>
      <c r="I197" s="3" t="str">
        <f t="shared" si="6"/>
        <v>BIRIYANI</v>
      </c>
      <c r="J197" s="3">
        <f t="shared" si="7"/>
        <v>2</v>
      </c>
      <c r="K197" s="3">
        <f t="shared" si="8"/>
        <v>153</v>
      </c>
      <c r="L197" s="4">
        <f t="shared" si="9"/>
        <v>0.15</v>
      </c>
      <c r="M197" s="3">
        <f t="shared" si="10"/>
        <v>260.1</v>
      </c>
      <c r="N197" s="3">
        <f t="shared" si="11"/>
        <v>182</v>
      </c>
      <c r="O197" s="3">
        <f t="shared" si="12"/>
        <v>78</v>
      </c>
      <c r="P197" s="3" t="str">
        <f t="shared" si="13"/>
        <v>UPI</v>
      </c>
      <c r="Q197" s="3" t="str">
        <f t="shared" si="14"/>
        <v>RETURNED</v>
      </c>
    </row>
    <row r="198">
      <c r="A198" s="1" t="s">
        <v>629</v>
      </c>
      <c r="B198" s="2">
        <f t="shared" si="1"/>
        <v>46130</v>
      </c>
      <c r="C198" s="1" t="s">
        <v>630</v>
      </c>
      <c r="D198" s="3" t="str">
        <f t="shared" si="2"/>
        <v>NIVE</v>
      </c>
      <c r="E198" s="3" t="str">
        <f t="shared" si="3"/>
        <v>GUJARAT</v>
      </c>
      <c r="F198" s="3" t="str">
        <f t="shared" si="4"/>
        <v>SURAT</v>
      </c>
      <c r="G198" s="1" t="s">
        <v>631</v>
      </c>
      <c r="H198" s="3" t="str">
        <f t="shared" si="5"/>
        <v>DRESS</v>
      </c>
      <c r="I198" s="3" t="str">
        <f t="shared" si="6"/>
        <v>WOMEN WAERS</v>
      </c>
      <c r="J198" s="3">
        <f t="shared" si="7"/>
        <v>1</v>
      </c>
      <c r="K198" s="3">
        <f t="shared" si="8"/>
        <v>553</v>
      </c>
      <c r="L198" s="4">
        <f t="shared" si="9"/>
        <v>0.15</v>
      </c>
      <c r="M198" s="3">
        <f t="shared" si="10"/>
        <v>470.05</v>
      </c>
      <c r="N198" s="3">
        <f t="shared" si="11"/>
        <v>329</v>
      </c>
      <c r="O198" s="3">
        <f t="shared" si="12"/>
        <v>141</v>
      </c>
      <c r="P198" s="3" t="str">
        <f t="shared" si="13"/>
        <v>CARD</v>
      </c>
      <c r="Q198" s="3" t="str">
        <f t="shared" si="14"/>
        <v>DELIVERED</v>
      </c>
    </row>
    <row r="199">
      <c r="A199" s="1" t="s">
        <v>632</v>
      </c>
      <c r="B199" s="2">
        <f t="shared" si="1"/>
        <v>46188</v>
      </c>
      <c r="C199" s="1" t="s">
        <v>633</v>
      </c>
      <c r="D199" s="3" t="str">
        <f t="shared" si="2"/>
        <v>VINO</v>
      </c>
      <c r="E199" s="3" t="str">
        <f t="shared" si="3"/>
        <v>RAJASTHAN</v>
      </c>
      <c r="F199" s="3" t="str">
        <f t="shared" si="4"/>
        <v>JAIPUR</v>
      </c>
      <c r="G199" s="1" t="s">
        <v>634</v>
      </c>
      <c r="H199" s="3" t="str">
        <f t="shared" si="5"/>
        <v>BEAUTY</v>
      </c>
      <c r="I199" s="3" t="str">
        <f t="shared" si="6"/>
        <v>KAJAL</v>
      </c>
      <c r="J199" s="3">
        <f t="shared" si="7"/>
        <v>4</v>
      </c>
      <c r="K199" s="3">
        <f t="shared" si="8"/>
        <v>593</v>
      </c>
      <c r="L199" s="4">
        <f t="shared" si="9"/>
        <v>0.2</v>
      </c>
      <c r="M199" s="3">
        <f t="shared" si="10"/>
        <v>1897.6</v>
      </c>
      <c r="N199" s="3">
        <f t="shared" si="11"/>
        <v>1328</v>
      </c>
      <c r="O199" s="3">
        <f t="shared" si="12"/>
        <v>570</v>
      </c>
      <c r="P199" s="3" t="str">
        <f t="shared" si="13"/>
        <v>COD</v>
      </c>
      <c r="Q199" s="3" t="str">
        <f t="shared" si="14"/>
        <v>SHIPPED</v>
      </c>
    </row>
    <row r="200">
      <c r="A200" s="1" t="s">
        <v>635</v>
      </c>
      <c r="B200" s="2">
        <f t="shared" si="1"/>
        <v>46225</v>
      </c>
      <c r="C200" s="1" t="s">
        <v>636</v>
      </c>
      <c r="D200" s="3" t="str">
        <f t="shared" si="2"/>
        <v>ABI</v>
      </c>
      <c r="E200" s="3" t="str">
        <f t="shared" si="3"/>
        <v>WEST BENGAL</v>
      </c>
      <c r="F200" s="3" t="str">
        <f t="shared" si="4"/>
        <v>KOLKATA</v>
      </c>
      <c r="G200" s="1" t="s">
        <v>637</v>
      </c>
      <c r="H200" s="3" t="str">
        <f t="shared" si="5"/>
        <v>HOME &amp; KITCHEN</v>
      </c>
      <c r="I200" s="3" t="str">
        <f t="shared" si="6"/>
        <v>MIXER GRAINDER</v>
      </c>
      <c r="J200" s="3">
        <f t="shared" si="7"/>
        <v>2</v>
      </c>
      <c r="K200" s="3">
        <f t="shared" si="8"/>
        <v>503</v>
      </c>
      <c r="L200" s="4">
        <f t="shared" si="9"/>
        <v>0</v>
      </c>
      <c r="M200" s="3">
        <f t="shared" si="10"/>
        <v>1006</v>
      </c>
      <c r="N200" s="3">
        <f t="shared" si="11"/>
        <v>704</v>
      </c>
      <c r="O200" s="3">
        <f t="shared" si="12"/>
        <v>302</v>
      </c>
      <c r="P200" s="3" t="str">
        <f t="shared" si="13"/>
        <v>NET BANKING</v>
      </c>
      <c r="Q200" s="3" t="str">
        <f t="shared" si="14"/>
        <v>CANCELLED</v>
      </c>
    </row>
    <row r="201">
      <c r="A201" s="1" t="s">
        <v>638</v>
      </c>
      <c r="B201" s="2">
        <f t="shared" si="1"/>
        <v>46287</v>
      </c>
      <c r="C201" s="1" t="s">
        <v>639</v>
      </c>
      <c r="D201" s="3" t="str">
        <f t="shared" si="2"/>
        <v>NIHAAR</v>
      </c>
      <c r="E201" s="3" t="str">
        <f t="shared" si="3"/>
        <v>MAGARASTRA</v>
      </c>
      <c r="F201" s="3" t="str">
        <f t="shared" si="4"/>
        <v>PUNE</v>
      </c>
      <c r="G201" s="1" t="s">
        <v>640</v>
      </c>
      <c r="H201" s="3" t="str">
        <f t="shared" si="5"/>
        <v>BOOKS</v>
      </c>
      <c r="I201" s="3" t="str">
        <f t="shared" si="6"/>
        <v>LIFE OF PI</v>
      </c>
      <c r="J201" s="3">
        <f t="shared" si="7"/>
        <v>2</v>
      </c>
      <c r="K201" s="3">
        <f t="shared" si="8"/>
        <v>429</v>
      </c>
      <c r="L201" s="4">
        <f t="shared" si="9"/>
        <v>0.17</v>
      </c>
      <c r="M201" s="3">
        <f t="shared" si="10"/>
        <v>712.14</v>
      </c>
      <c r="N201" s="3">
        <f t="shared" si="11"/>
        <v>498</v>
      </c>
      <c r="O201" s="3">
        <f t="shared" si="12"/>
        <v>214</v>
      </c>
      <c r="P201" s="3" t="str">
        <f t="shared" si="13"/>
        <v>WALLET</v>
      </c>
      <c r="Q201" s="3" t="str">
        <f t="shared" si="14"/>
        <v>RETURNED</v>
      </c>
    </row>
    <row r="202">
      <c r="A202" s="1" t="s">
        <v>641</v>
      </c>
      <c r="B202" s="2">
        <f t="shared" si="1"/>
        <v>46282</v>
      </c>
      <c r="C202" s="1" t="s">
        <v>642</v>
      </c>
      <c r="D202" s="3" t="str">
        <f t="shared" si="2"/>
        <v>SRI</v>
      </c>
      <c r="E202" s="3" t="str">
        <f t="shared" si="3"/>
        <v>TAMILNADU</v>
      </c>
      <c r="F202" s="3" t="str">
        <f t="shared" si="4"/>
        <v>THOOTHUKUDI</v>
      </c>
      <c r="G202" s="1" t="s">
        <v>643</v>
      </c>
      <c r="H202" s="3" t="str">
        <f t="shared" si="5"/>
        <v>ACCESSORIES</v>
      </c>
      <c r="I202" s="3" t="str">
        <f t="shared" si="6"/>
        <v>EARRINGS</v>
      </c>
      <c r="J202" s="3">
        <f t="shared" si="7"/>
        <v>4</v>
      </c>
      <c r="K202" s="3">
        <f t="shared" si="8"/>
        <v>446</v>
      </c>
      <c r="L202" s="4">
        <f t="shared" si="9"/>
        <v>0.17</v>
      </c>
      <c r="M202" s="3">
        <f t="shared" si="10"/>
        <v>1480.72</v>
      </c>
      <c r="N202" s="3">
        <f t="shared" si="11"/>
        <v>1037</v>
      </c>
      <c r="O202" s="3">
        <f t="shared" si="12"/>
        <v>444</v>
      </c>
      <c r="P202" s="3" t="str">
        <f t="shared" si="13"/>
        <v>UPI</v>
      </c>
      <c r="Q202" s="3" t="str">
        <f t="shared" si="14"/>
        <v>DELIVERED</v>
      </c>
    </row>
    <row r="203">
      <c r="A203" s="1" t="s">
        <v>644</v>
      </c>
      <c r="B203" s="2">
        <f t="shared" si="1"/>
        <v>46358</v>
      </c>
      <c r="C203" s="1" t="s">
        <v>645</v>
      </c>
      <c r="D203" s="3" t="str">
        <f t="shared" si="2"/>
        <v>SHOBN</v>
      </c>
      <c r="E203" s="3" t="str">
        <f t="shared" si="3"/>
        <v>KERALA</v>
      </c>
      <c r="F203" s="3" t="str">
        <f t="shared" si="4"/>
        <v>KOCHI</v>
      </c>
      <c r="G203" s="1" t="s">
        <v>646</v>
      </c>
      <c r="H203" s="3" t="str">
        <f t="shared" si="5"/>
        <v>ELECTRONICS</v>
      </c>
      <c r="I203" s="3" t="str">
        <f t="shared" si="6"/>
        <v>WIRELESS EARBUDS</v>
      </c>
      <c r="J203" s="3">
        <f t="shared" si="7"/>
        <v>1</v>
      </c>
      <c r="K203" s="3">
        <f t="shared" si="8"/>
        <v>295</v>
      </c>
      <c r="L203" s="4">
        <f t="shared" si="9"/>
        <v>0.2</v>
      </c>
      <c r="M203" s="3">
        <f t="shared" si="10"/>
        <v>236</v>
      </c>
      <c r="N203" s="3">
        <f t="shared" si="11"/>
        <v>165</v>
      </c>
      <c r="O203" s="3">
        <f t="shared" si="12"/>
        <v>71</v>
      </c>
      <c r="P203" s="3" t="str">
        <f t="shared" si="13"/>
        <v>CARD</v>
      </c>
      <c r="Q203" s="3" t="str">
        <f t="shared" si="14"/>
        <v>SHIPPED</v>
      </c>
    </row>
    <row r="204">
      <c r="A204" s="1" t="s">
        <v>647</v>
      </c>
      <c r="B204" s="2">
        <f t="shared" si="1"/>
        <v>46164</v>
      </c>
      <c r="C204" s="1" t="s">
        <v>648</v>
      </c>
      <c r="D204" s="3" t="str">
        <f t="shared" si="2"/>
        <v>SOBI</v>
      </c>
      <c r="E204" s="3" t="str">
        <f t="shared" si="3"/>
        <v>KARNATAKA</v>
      </c>
      <c r="F204" s="3" t="str">
        <f t="shared" si="4"/>
        <v>BANGALURU</v>
      </c>
      <c r="G204" s="1" t="s">
        <v>649</v>
      </c>
      <c r="H204" s="3" t="str">
        <f t="shared" si="5"/>
        <v>SPORTS</v>
      </c>
      <c r="I204" s="3" t="str">
        <f t="shared" si="6"/>
        <v>FOOTBALL</v>
      </c>
      <c r="J204" s="3">
        <f t="shared" si="7"/>
        <v>3</v>
      </c>
      <c r="K204" s="3">
        <f t="shared" si="8"/>
        <v>192</v>
      </c>
      <c r="L204" s="4">
        <f t="shared" si="9"/>
        <v>0.2</v>
      </c>
      <c r="M204" s="3">
        <f t="shared" si="10"/>
        <v>460.8</v>
      </c>
      <c r="N204" s="3">
        <f t="shared" si="11"/>
        <v>323</v>
      </c>
      <c r="O204" s="3">
        <f t="shared" si="12"/>
        <v>138</v>
      </c>
      <c r="P204" s="3" t="str">
        <f t="shared" si="13"/>
        <v>COD</v>
      </c>
      <c r="Q204" s="3" t="str">
        <f t="shared" si="14"/>
        <v>CANCELLED</v>
      </c>
    </row>
    <row r="205">
      <c r="A205" s="1" t="s">
        <v>650</v>
      </c>
      <c r="B205" s="2">
        <f t="shared" si="1"/>
        <v>46120</v>
      </c>
      <c r="C205" s="1" t="s">
        <v>651</v>
      </c>
      <c r="D205" s="3" t="str">
        <f t="shared" si="2"/>
        <v>SUJI</v>
      </c>
      <c r="E205" s="3" t="str">
        <f t="shared" si="3"/>
        <v>ANDHRA PRADESH</v>
      </c>
      <c r="F205" s="3" t="str">
        <f t="shared" si="4"/>
        <v>TIRUPATI</v>
      </c>
      <c r="G205" s="1" t="s">
        <v>652</v>
      </c>
      <c r="H205" s="3" t="str">
        <f t="shared" si="5"/>
        <v>FOOD</v>
      </c>
      <c r="I205" s="3" t="str">
        <f t="shared" si="6"/>
        <v>BIRIYANI</v>
      </c>
      <c r="J205" s="3">
        <f t="shared" si="7"/>
        <v>3</v>
      </c>
      <c r="K205" s="3">
        <f t="shared" si="8"/>
        <v>362</v>
      </c>
      <c r="L205" s="4">
        <f t="shared" si="9"/>
        <v>0.15</v>
      </c>
      <c r="M205" s="3">
        <f t="shared" si="10"/>
        <v>923.1</v>
      </c>
      <c r="N205" s="3">
        <f t="shared" si="11"/>
        <v>646</v>
      </c>
      <c r="O205" s="3">
        <f t="shared" si="12"/>
        <v>277</v>
      </c>
      <c r="P205" s="3" t="str">
        <f t="shared" si="13"/>
        <v>NET BANKING</v>
      </c>
      <c r="Q205" s="3" t="str">
        <f t="shared" si="14"/>
        <v>RETURNED</v>
      </c>
    </row>
    <row r="206">
      <c r="A206" s="1" t="s">
        <v>653</v>
      </c>
      <c r="B206" s="2">
        <f t="shared" si="1"/>
        <v>46207</v>
      </c>
      <c r="C206" s="1" t="s">
        <v>654</v>
      </c>
      <c r="D206" s="3" t="str">
        <f t="shared" si="2"/>
        <v>RATHA</v>
      </c>
      <c r="E206" s="3" t="str">
        <f t="shared" si="3"/>
        <v>TELUGANA</v>
      </c>
      <c r="F206" s="3" t="str">
        <f t="shared" si="4"/>
        <v>HYDERABAD</v>
      </c>
      <c r="G206" s="1" t="s">
        <v>655</v>
      </c>
      <c r="H206" s="3" t="str">
        <f t="shared" si="5"/>
        <v>DRESS</v>
      </c>
      <c r="I206" s="3" t="str">
        <f t="shared" si="6"/>
        <v>WOMEN WAERS</v>
      </c>
      <c r="J206" s="3">
        <f t="shared" si="7"/>
        <v>5</v>
      </c>
      <c r="K206" s="3">
        <f t="shared" si="8"/>
        <v>482</v>
      </c>
      <c r="L206" s="4">
        <f t="shared" si="9"/>
        <v>0.5</v>
      </c>
      <c r="M206" s="3">
        <f t="shared" si="10"/>
        <v>1205</v>
      </c>
      <c r="N206" s="3">
        <f t="shared" si="11"/>
        <v>844</v>
      </c>
      <c r="O206" s="3">
        <f t="shared" si="12"/>
        <v>361</v>
      </c>
      <c r="P206" s="3" t="str">
        <f t="shared" si="13"/>
        <v>WALLET</v>
      </c>
      <c r="Q206" s="3" t="str">
        <f t="shared" si="14"/>
        <v>DELIVERED</v>
      </c>
    </row>
    <row r="207">
      <c r="A207" s="1" t="s">
        <v>656</v>
      </c>
      <c r="B207" s="2">
        <f t="shared" si="1"/>
        <v>46247</v>
      </c>
      <c r="C207" s="1" t="s">
        <v>657</v>
      </c>
      <c r="D207" s="3" t="str">
        <f t="shared" si="2"/>
        <v>SUSA</v>
      </c>
      <c r="E207" s="3" t="str">
        <f t="shared" si="3"/>
        <v>UTTHRA PRADESH</v>
      </c>
      <c r="F207" s="3" t="str">
        <f t="shared" si="4"/>
        <v>LUCKNOW</v>
      </c>
      <c r="G207" s="1" t="s">
        <v>658</v>
      </c>
      <c r="H207" s="3" t="str">
        <f t="shared" si="5"/>
        <v>BEAUTY</v>
      </c>
      <c r="I207" s="3" t="str">
        <f t="shared" si="6"/>
        <v>KAJAL</v>
      </c>
      <c r="J207" s="3">
        <f t="shared" si="7"/>
        <v>4</v>
      </c>
      <c r="K207" s="3">
        <f t="shared" si="8"/>
        <v>327</v>
      </c>
      <c r="L207" s="4">
        <f t="shared" si="9"/>
        <v>0.2</v>
      </c>
      <c r="M207" s="3">
        <f t="shared" si="10"/>
        <v>1046.4</v>
      </c>
      <c r="N207" s="3">
        <f t="shared" si="11"/>
        <v>732</v>
      </c>
      <c r="O207" s="3">
        <f t="shared" si="12"/>
        <v>314</v>
      </c>
      <c r="P207" s="3" t="str">
        <f t="shared" si="13"/>
        <v>UPI</v>
      </c>
      <c r="Q207" s="3" t="str">
        <f t="shared" si="14"/>
        <v>SHIPPED</v>
      </c>
    </row>
    <row r="208">
      <c r="A208" s="1" t="s">
        <v>659</v>
      </c>
      <c r="B208" s="2">
        <f t="shared" si="1"/>
        <v>46217</v>
      </c>
      <c r="C208" s="1" t="s">
        <v>660</v>
      </c>
      <c r="D208" s="3" t="str">
        <f t="shared" si="2"/>
        <v>NIVE</v>
      </c>
      <c r="E208" s="3" t="str">
        <f t="shared" si="3"/>
        <v>GUJARAT</v>
      </c>
      <c r="F208" s="3" t="str">
        <f t="shared" si="4"/>
        <v>SURAT</v>
      </c>
      <c r="G208" s="1" t="s">
        <v>661</v>
      </c>
      <c r="H208" s="3" t="str">
        <f t="shared" si="5"/>
        <v>HOME &amp; KITCHEN</v>
      </c>
      <c r="I208" s="3" t="str">
        <f t="shared" si="6"/>
        <v>MIXER GRAINDER</v>
      </c>
      <c r="J208" s="3">
        <f t="shared" si="7"/>
        <v>1</v>
      </c>
      <c r="K208" s="3">
        <f t="shared" si="8"/>
        <v>122</v>
      </c>
      <c r="L208" s="4">
        <f t="shared" si="9"/>
        <v>0.5</v>
      </c>
      <c r="M208" s="3">
        <f t="shared" si="10"/>
        <v>61</v>
      </c>
      <c r="N208" s="3">
        <f t="shared" si="11"/>
        <v>43</v>
      </c>
      <c r="O208" s="3">
        <f t="shared" si="12"/>
        <v>18</v>
      </c>
      <c r="P208" s="3" t="str">
        <f t="shared" si="13"/>
        <v>CARD</v>
      </c>
      <c r="Q208" s="3" t="str">
        <f t="shared" si="14"/>
        <v>CANCELLED</v>
      </c>
    </row>
    <row r="209">
      <c r="A209" s="1" t="s">
        <v>662</v>
      </c>
      <c r="B209" s="2">
        <f t="shared" si="1"/>
        <v>46102</v>
      </c>
      <c r="C209" s="1" t="s">
        <v>663</v>
      </c>
      <c r="D209" s="3" t="str">
        <f t="shared" si="2"/>
        <v>VINO</v>
      </c>
      <c r="E209" s="3" t="str">
        <f t="shared" si="3"/>
        <v>RAJASTHAN</v>
      </c>
      <c r="F209" s="3" t="str">
        <f t="shared" si="4"/>
        <v>JAIPUR</v>
      </c>
      <c r="G209" s="1" t="s">
        <v>664</v>
      </c>
      <c r="H209" s="3" t="str">
        <f t="shared" si="5"/>
        <v>BOOKS</v>
      </c>
      <c r="I209" s="3" t="str">
        <f t="shared" si="6"/>
        <v>LIFE OF PI</v>
      </c>
      <c r="J209" s="3">
        <f t="shared" si="7"/>
        <v>2</v>
      </c>
      <c r="K209" s="3">
        <f t="shared" si="8"/>
        <v>532</v>
      </c>
      <c r="L209" s="4">
        <f t="shared" si="9"/>
        <v>0.17</v>
      </c>
      <c r="M209" s="3">
        <f t="shared" si="10"/>
        <v>883.12</v>
      </c>
      <c r="N209" s="3">
        <f t="shared" si="11"/>
        <v>618</v>
      </c>
      <c r="O209" s="3">
        <f t="shared" si="12"/>
        <v>265</v>
      </c>
      <c r="P209" s="3" t="str">
        <f t="shared" si="13"/>
        <v>COD</v>
      </c>
      <c r="Q209" s="3" t="str">
        <f t="shared" si="14"/>
        <v>RETURNED</v>
      </c>
    </row>
    <row r="210">
      <c r="A210" s="1" t="s">
        <v>665</v>
      </c>
      <c r="B210" s="2">
        <f t="shared" si="1"/>
        <v>46294</v>
      </c>
      <c r="C210" s="1" t="s">
        <v>666</v>
      </c>
      <c r="D210" s="3" t="str">
        <f t="shared" si="2"/>
        <v>ABI</v>
      </c>
      <c r="E210" s="3" t="str">
        <f t="shared" si="3"/>
        <v>WEST BENGAL</v>
      </c>
      <c r="F210" s="3" t="str">
        <f t="shared" si="4"/>
        <v>KOLKATA</v>
      </c>
      <c r="G210" s="1" t="s">
        <v>667</v>
      </c>
      <c r="H210" s="3" t="str">
        <f t="shared" si="5"/>
        <v>ACCESSORIES</v>
      </c>
      <c r="I210" s="3" t="str">
        <f t="shared" si="6"/>
        <v>EARRINGS</v>
      </c>
      <c r="J210" s="3">
        <f t="shared" si="7"/>
        <v>4</v>
      </c>
      <c r="K210" s="3">
        <f t="shared" si="8"/>
        <v>550</v>
      </c>
      <c r="L210" s="4">
        <f t="shared" si="9"/>
        <v>0.17</v>
      </c>
      <c r="M210" s="3">
        <f t="shared" si="10"/>
        <v>1826</v>
      </c>
      <c r="N210" s="3">
        <f t="shared" si="11"/>
        <v>1278</v>
      </c>
      <c r="O210" s="3">
        <f t="shared" si="12"/>
        <v>548</v>
      </c>
      <c r="P210" s="3" t="str">
        <f t="shared" si="13"/>
        <v>NET BANKING</v>
      </c>
      <c r="Q210" s="3" t="str">
        <f t="shared" si="14"/>
        <v>DELIVERED</v>
      </c>
    </row>
    <row r="211">
      <c r="A211" s="1" t="s">
        <v>668</v>
      </c>
      <c r="B211" s="2">
        <f t="shared" si="1"/>
        <v>46312</v>
      </c>
      <c r="C211" s="1" t="s">
        <v>669</v>
      </c>
      <c r="D211" s="3" t="str">
        <f t="shared" si="2"/>
        <v>NIHAAR</v>
      </c>
      <c r="E211" s="3" t="str">
        <f t="shared" si="3"/>
        <v>MAGARASTRA</v>
      </c>
      <c r="F211" s="3" t="str">
        <f t="shared" si="4"/>
        <v>PUNE</v>
      </c>
      <c r="G211" s="1" t="s">
        <v>670</v>
      </c>
      <c r="H211" s="3" t="str">
        <f t="shared" si="5"/>
        <v>ELECTRONICS</v>
      </c>
      <c r="I211" s="3" t="str">
        <f t="shared" si="6"/>
        <v>WIRELESS EARBUDS</v>
      </c>
      <c r="J211" s="3">
        <f t="shared" si="7"/>
        <v>5</v>
      </c>
      <c r="K211" s="3">
        <f t="shared" si="8"/>
        <v>412</v>
      </c>
      <c r="L211" s="4">
        <f t="shared" si="9"/>
        <v>0.5</v>
      </c>
      <c r="M211" s="3">
        <f t="shared" si="10"/>
        <v>1030</v>
      </c>
      <c r="N211" s="3">
        <f t="shared" si="11"/>
        <v>721</v>
      </c>
      <c r="O211" s="3">
        <f t="shared" si="12"/>
        <v>309</v>
      </c>
      <c r="P211" s="3" t="str">
        <f t="shared" si="13"/>
        <v>WALLET</v>
      </c>
      <c r="Q211" s="3" t="str">
        <f t="shared" si="14"/>
        <v>SHIPPED</v>
      </c>
    </row>
    <row r="212">
      <c r="A212" s="1" t="s">
        <v>671</v>
      </c>
      <c r="B212" s="2">
        <f t="shared" si="1"/>
        <v>46181</v>
      </c>
      <c r="C212" s="1" t="s">
        <v>672</v>
      </c>
      <c r="D212" s="3" t="str">
        <f t="shared" si="2"/>
        <v>SRI</v>
      </c>
      <c r="E212" s="3" t="str">
        <f t="shared" si="3"/>
        <v>TAMILNADU</v>
      </c>
      <c r="F212" s="3" t="str">
        <f t="shared" si="4"/>
        <v>THOOTHUKUDI</v>
      </c>
      <c r="G212" s="1" t="s">
        <v>673</v>
      </c>
      <c r="H212" s="3" t="str">
        <f t="shared" si="5"/>
        <v>SPORTS</v>
      </c>
      <c r="I212" s="3" t="str">
        <f t="shared" si="6"/>
        <v>FOOTBALL</v>
      </c>
      <c r="J212" s="3">
        <f t="shared" si="7"/>
        <v>1</v>
      </c>
      <c r="K212" s="3">
        <f t="shared" si="8"/>
        <v>436</v>
      </c>
      <c r="L212" s="4">
        <f t="shared" si="9"/>
        <v>0.15</v>
      </c>
      <c r="M212" s="3">
        <f t="shared" si="10"/>
        <v>370.6</v>
      </c>
      <c r="N212" s="3">
        <f t="shared" si="11"/>
        <v>259</v>
      </c>
      <c r="O212" s="3">
        <f t="shared" si="12"/>
        <v>112</v>
      </c>
      <c r="P212" s="3" t="str">
        <f t="shared" si="13"/>
        <v>UPI</v>
      </c>
      <c r="Q212" s="3" t="str">
        <f t="shared" si="14"/>
        <v>CANCELLED</v>
      </c>
    </row>
    <row r="213">
      <c r="A213" s="1" t="s">
        <v>674</v>
      </c>
      <c r="B213" s="2">
        <f t="shared" si="1"/>
        <v>46258</v>
      </c>
      <c r="C213" s="1" t="s">
        <v>675</v>
      </c>
      <c r="D213" s="3" t="str">
        <f t="shared" si="2"/>
        <v>SHOBN</v>
      </c>
      <c r="E213" s="3" t="str">
        <f t="shared" si="3"/>
        <v>KERALA</v>
      </c>
      <c r="F213" s="3" t="str">
        <f t="shared" si="4"/>
        <v>KOCHI</v>
      </c>
      <c r="G213" s="1" t="s">
        <v>676</v>
      </c>
      <c r="H213" s="3" t="str">
        <f t="shared" si="5"/>
        <v>FOOD</v>
      </c>
      <c r="I213" s="3" t="str">
        <f t="shared" si="6"/>
        <v>BIRIYANI</v>
      </c>
      <c r="J213" s="3">
        <f t="shared" si="7"/>
        <v>2</v>
      </c>
      <c r="K213" s="3">
        <f t="shared" si="8"/>
        <v>576</v>
      </c>
      <c r="L213" s="4">
        <f t="shared" si="9"/>
        <v>0.2</v>
      </c>
      <c r="M213" s="3">
        <f t="shared" si="10"/>
        <v>921.6</v>
      </c>
      <c r="N213" s="3">
        <f t="shared" si="11"/>
        <v>645</v>
      </c>
      <c r="O213" s="3">
        <f t="shared" si="12"/>
        <v>277</v>
      </c>
      <c r="P213" s="3" t="str">
        <f t="shared" si="13"/>
        <v>CARD</v>
      </c>
      <c r="Q213" s="3" t="str">
        <f t="shared" si="14"/>
        <v>RETURNED</v>
      </c>
    </row>
    <row r="214">
      <c r="A214" s="1" t="s">
        <v>677</v>
      </c>
      <c r="B214" s="2">
        <f t="shared" si="1"/>
        <v>46028</v>
      </c>
      <c r="C214" s="1" t="s">
        <v>678</v>
      </c>
      <c r="D214" s="3" t="str">
        <f t="shared" si="2"/>
        <v>SOBI</v>
      </c>
      <c r="E214" s="3" t="str">
        <f t="shared" si="3"/>
        <v>KARNATAKA</v>
      </c>
      <c r="F214" s="3" t="str">
        <f t="shared" si="4"/>
        <v>BANGALURU</v>
      </c>
      <c r="G214" s="1" t="s">
        <v>679</v>
      </c>
      <c r="H214" s="3" t="str">
        <f t="shared" si="5"/>
        <v>DRESS</v>
      </c>
      <c r="I214" s="3" t="str">
        <f t="shared" si="6"/>
        <v>WOMEN WAERS</v>
      </c>
      <c r="J214" s="3">
        <f t="shared" si="7"/>
        <v>4</v>
      </c>
      <c r="K214" s="3">
        <f t="shared" si="8"/>
        <v>493</v>
      </c>
      <c r="L214" s="4">
        <f t="shared" si="9"/>
        <v>0.2</v>
      </c>
      <c r="M214" s="3">
        <f t="shared" si="10"/>
        <v>1577.6</v>
      </c>
      <c r="N214" s="3">
        <f t="shared" si="11"/>
        <v>1104</v>
      </c>
      <c r="O214" s="3">
        <f t="shared" si="12"/>
        <v>474</v>
      </c>
      <c r="P214" s="3" t="str">
        <f t="shared" si="13"/>
        <v>COD</v>
      </c>
      <c r="Q214" s="3" t="str">
        <f t="shared" si="14"/>
        <v>DELIVERED</v>
      </c>
    </row>
    <row r="215">
      <c r="A215" s="1" t="s">
        <v>680</v>
      </c>
      <c r="B215" s="2">
        <f t="shared" si="1"/>
        <v>46292</v>
      </c>
      <c r="C215" s="1" t="s">
        <v>681</v>
      </c>
      <c r="D215" s="3" t="str">
        <f t="shared" si="2"/>
        <v>SUJI</v>
      </c>
      <c r="E215" s="3" t="str">
        <f t="shared" si="3"/>
        <v>ANDHRA PRADESH</v>
      </c>
      <c r="F215" s="3" t="str">
        <f t="shared" si="4"/>
        <v>TIRUPATI</v>
      </c>
      <c r="G215" s="1" t="s">
        <v>682</v>
      </c>
      <c r="H215" s="3" t="str">
        <f t="shared" si="5"/>
        <v>BEAUTY</v>
      </c>
      <c r="I215" s="3" t="str">
        <f t="shared" si="6"/>
        <v>KAJAL</v>
      </c>
      <c r="J215" s="3">
        <f t="shared" si="7"/>
        <v>3</v>
      </c>
      <c r="K215" s="3">
        <f t="shared" si="8"/>
        <v>210</v>
      </c>
      <c r="L215" s="4">
        <f t="shared" si="9"/>
        <v>0.15</v>
      </c>
      <c r="M215" s="3">
        <f t="shared" si="10"/>
        <v>535.5</v>
      </c>
      <c r="N215" s="3">
        <f t="shared" si="11"/>
        <v>375</v>
      </c>
      <c r="O215" s="3">
        <f t="shared" si="12"/>
        <v>161</v>
      </c>
      <c r="P215" s="3" t="str">
        <f t="shared" si="13"/>
        <v>NET BANKING</v>
      </c>
      <c r="Q215" s="3" t="str">
        <f t="shared" si="14"/>
        <v>SHIPPED</v>
      </c>
    </row>
    <row r="216">
      <c r="A216" s="1" t="s">
        <v>683</v>
      </c>
      <c r="B216" s="2">
        <f t="shared" si="1"/>
        <v>46380</v>
      </c>
      <c r="C216" s="1" t="s">
        <v>684</v>
      </c>
      <c r="D216" s="3" t="str">
        <f t="shared" si="2"/>
        <v>RATHA</v>
      </c>
      <c r="E216" s="3" t="str">
        <f t="shared" si="3"/>
        <v>TELUGANA</v>
      </c>
      <c r="F216" s="3" t="str">
        <f t="shared" si="4"/>
        <v>HYDERABAD</v>
      </c>
      <c r="G216" s="1" t="s">
        <v>685</v>
      </c>
      <c r="H216" s="3" t="str">
        <f t="shared" si="5"/>
        <v>HOME &amp; KITCHEN</v>
      </c>
      <c r="I216" s="3" t="str">
        <f t="shared" si="6"/>
        <v>MIXER GRAINDER</v>
      </c>
      <c r="J216" s="3">
        <f t="shared" si="7"/>
        <v>2</v>
      </c>
      <c r="K216" s="3">
        <f t="shared" si="8"/>
        <v>445</v>
      </c>
      <c r="L216" s="4">
        <f t="shared" si="9"/>
        <v>0.17</v>
      </c>
      <c r="M216" s="3">
        <f t="shared" si="10"/>
        <v>738.7</v>
      </c>
      <c r="N216" s="3">
        <f t="shared" si="11"/>
        <v>517</v>
      </c>
      <c r="O216" s="3">
        <f t="shared" si="12"/>
        <v>222</v>
      </c>
      <c r="P216" s="3" t="str">
        <f t="shared" si="13"/>
        <v>WALLET</v>
      </c>
      <c r="Q216" s="3" t="str">
        <f t="shared" si="14"/>
        <v>CANCELLED</v>
      </c>
    </row>
    <row r="217">
      <c r="A217" s="1" t="s">
        <v>686</v>
      </c>
      <c r="B217" s="2">
        <f t="shared" si="1"/>
        <v>46154</v>
      </c>
      <c r="C217" s="1" t="s">
        <v>687</v>
      </c>
      <c r="D217" s="3" t="str">
        <f t="shared" si="2"/>
        <v>SUSA</v>
      </c>
      <c r="E217" s="3" t="str">
        <f t="shared" si="3"/>
        <v>UTTHRA PRADESH</v>
      </c>
      <c r="F217" s="3" t="str">
        <f t="shared" si="4"/>
        <v>LUCKNOW</v>
      </c>
      <c r="G217" s="1" t="s">
        <v>688</v>
      </c>
      <c r="H217" s="3" t="str">
        <f t="shared" si="5"/>
        <v>BOOKS</v>
      </c>
      <c r="I217" s="3" t="str">
        <f t="shared" si="6"/>
        <v>LIFE OF PI</v>
      </c>
      <c r="J217" s="3">
        <f t="shared" si="7"/>
        <v>4</v>
      </c>
      <c r="K217" s="3">
        <f t="shared" si="8"/>
        <v>497</v>
      </c>
      <c r="L217" s="4">
        <f t="shared" si="9"/>
        <v>0.1</v>
      </c>
      <c r="M217" s="3">
        <f t="shared" si="10"/>
        <v>1789.2</v>
      </c>
      <c r="N217" s="3">
        <f t="shared" si="11"/>
        <v>1252</v>
      </c>
      <c r="O217" s="3">
        <f t="shared" si="12"/>
        <v>537</v>
      </c>
      <c r="P217" s="3" t="str">
        <f t="shared" si="13"/>
        <v>UPI</v>
      </c>
      <c r="Q217" s="3" t="str">
        <f t="shared" si="14"/>
        <v>RETURNED</v>
      </c>
    </row>
    <row r="218">
      <c r="A218" s="1" t="s">
        <v>689</v>
      </c>
      <c r="B218" s="2">
        <f t="shared" si="1"/>
        <v>46363</v>
      </c>
      <c r="C218" s="1" t="s">
        <v>690</v>
      </c>
      <c r="D218" s="3" t="str">
        <f t="shared" si="2"/>
        <v>NIVE</v>
      </c>
      <c r="E218" s="3" t="str">
        <f t="shared" si="3"/>
        <v>GUJARAT</v>
      </c>
      <c r="F218" s="3" t="str">
        <f t="shared" si="4"/>
        <v>SURAT</v>
      </c>
      <c r="G218" s="1" t="s">
        <v>691</v>
      </c>
      <c r="H218" s="3" t="str">
        <f t="shared" si="5"/>
        <v>ACCESSORIES</v>
      </c>
      <c r="I218" s="3" t="str">
        <f t="shared" si="6"/>
        <v>EARRINGS</v>
      </c>
      <c r="J218" s="3">
        <f t="shared" si="7"/>
        <v>1</v>
      </c>
      <c r="K218" s="3">
        <f t="shared" si="8"/>
        <v>288</v>
      </c>
      <c r="L218" s="4">
        <f t="shared" si="9"/>
        <v>0.15</v>
      </c>
      <c r="M218" s="3">
        <f t="shared" si="10"/>
        <v>244.8</v>
      </c>
      <c r="N218" s="3">
        <f t="shared" si="11"/>
        <v>171</v>
      </c>
      <c r="O218" s="3">
        <f t="shared" si="12"/>
        <v>74</v>
      </c>
      <c r="P218" s="3" t="str">
        <f t="shared" si="13"/>
        <v>CARD</v>
      </c>
      <c r="Q218" s="3" t="str">
        <f t="shared" si="14"/>
        <v>DELIVERED</v>
      </c>
    </row>
    <row r="219">
      <c r="A219" s="1" t="s">
        <v>692</v>
      </c>
      <c r="B219" s="2">
        <f t="shared" si="1"/>
        <v>46111</v>
      </c>
      <c r="C219" s="1" t="s">
        <v>693</v>
      </c>
      <c r="D219" s="3" t="str">
        <f t="shared" si="2"/>
        <v>VINO</v>
      </c>
      <c r="E219" s="3" t="str">
        <f t="shared" si="3"/>
        <v>RAJASTHAN</v>
      </c>
      <c r="F219" s="3" t="str">
        <f t="shared" si="4"/>
        <v>JAIPUR</v>
      </c>
      <c r="G219" s="1" t="s">
        <v>694</v>
      </c>
      <c r="H219" s="3" t="str">
        <f t="shared" si="5"/>
        <v>ELECTRONICS</v>
      </c>
      <c r="I219" s="3" t="str">
        <f t="shared" si="6"/>
        <v>WIRELESS EARBUDS</v>
      </c>
      <c r="J219" s="3">
        <f t="shared" si="7"/>
        <v>5</v>
      </c>
      <c r="K219" s="3">
        <f t="shared" si="8"/>
        <v>341</v>
      </c>
      <c r="L219" s="4">
        <f t="shared" si="9"/>
        <v>0.5</v>
      </c>
      <c r="M219" s="3">
        <f t="shared" si="10"/>
        <v>852.5</v>
      </c>
      <c r="N219" s="3">
        <f t="shared" si="11"/>
        <v>597</v>
      </c>
      <c r="O219" s="3">
        <f t="shared" si="12"/>
        <v>256</v>
      </c>
      <c r="P219" s="3" t="str">
        <f t="shared" si="13"/>
        <v>COD</v>
      </c>
      <c r="Q219" s="3" t="str">
        <f t="shared" si="14"/>
        <v>SHIPPED</v>
      </c>
    </row>
    <row r="220">
      <c r="A220" s="1" t="s">
        <v>695</v>
      </c>
      <c r="B220" s="2">
        <f t="shared" si="1"/>
        <v>46104</v>
      </c>
      <c r="C220" s="1" t="s">
        <v>696</v>
      </c>
      <c r="D220" s="3" t="str">
        <f t="shared" si="2"/>
        <v>ABI</v>
      </c>
      <c r="E220" s="3" t="str">
        <f t="shared" si="3"/>
        <v>WEST BENGAL</v>
      </c>
      <c r="F220" s="3" t="str">
        <f t="shared" si="4"/>
        <v>KOLKATA</v>
      </c>
      <c r="G220" s="1" t="s">
        <v>697</v>
      </c>
      <c r="H220" s="3" t="str">
        <f t="shared" si="5"/>
        <v>SPORTS</v>
      </c>
      <c r="I220" s="3" t="str">
        <f t="shared" si="6"/>
        <v>FOOTBALL</v>
      </c>
      <c r="J220" s="3">
        <f t="shared" si="7"/>
        <v>1</v>
      </c>
      <c r="K220" s="3">
        <f t="shared" si="8"/>
        <v>529</v>
      </c>
      <c r="L220" s="4">
        <f t="shared" si="9"/>
        <v>0.15</v>
      </c>
      <c r="M220" s="3">
        <f t="shared" si="10"/>
        <v>449.65</v>
      </c>
      <c r="N220" s="3">
        <f t="shared" si="11"/>
        <v>315</v>
      </c>
      <c r="O220" s="3">
        <f t="shared" si="12"/>
        <v>135</v>
      </c>
      <c r="P220" s="3" t="str">
        <f t="shared" si="13"/>
        <v>NET BANKING</v>
      </c>
      <c r="Q220" s="3" t="str">
        <f t="shared" si="14"/>
        <v>CANCELLED</v>
      </c>
    </row>
    <row r="221">
      <c r="A221" s="1" t="s">
        <v>698</v>
      </c>
      <c r="B221" s="2">
        <f t="shared" si="1"/>
        <v>46303</v>
      </c>
      <c r="C221" s="1" t="s">
        <v>699</v>
      </c>
      <c r="D221" s="3" t="str">
        <f t="shared" si="2"/>
        <v>NIHAAR</v>
      </c>
      <c r="E221" s="3" t="str">
        <f t="shared" si="3"/>
        <v>MAGARASTRA</v>
      </c>
      <c r="F221" s="3" t="str">
        <f t="shared" si="4"/>
        <v>PUNE</v>
      </c>
      <c r="G221" s="1" t="s">
        <v>700</v>
      </c>
      <c r="H221" s="3" t="str">
        <f t="shared" si="5"/>
        <v>FOOD</v>
      </c>
      <c r="I221" s="3" t="str">
        <f t="shared" si="6"/>
        <v>BIRIYANI</v>
      </c>
      <c r="J221" s="3">
        <f t="shared" si="7"/>
        <v>5</v>
      </c>
      <c r="K221" s="3">
        <f t="shared" si="8"/>
        <v>435</v>
      </c>
      <c r="L221" s="4">
        <f t="shared" si="9"/>
        <v>0.15</v>
      </c>
      <c r="M221" s="3">
        <f t="shared" si="10"/>
        <v>1848.75</v>
      </c>
      <c r="N221" s="3">
        <f t="shared" si="11"/>
        <v>1294</v>
      </c>
      <c r="O221" s="3">
        <f t="shared" si="12"/>
        <v>555</v>
      </c>
      <c r="P221" s="3" t="str">
        <f t="shared" si="13"/>
        <v>WALLET</v>
      </c>
      <c r="Q221" s="3" t="str">
        <f t="shared" si="14"/>
        <v>RETURNED</v>
      </c>
    </row>
    <row r="222">
      <c r="A222" s="1" t="s">
        <v>701</v>
      </c>
      <c r="B222" s="2">
        <f t="shared" si="1"/>
        <v>46032</v>
      </c>
      <c r="C222" s="1" t="s">
        <v>702</v>
      </c>
      <c r="D222" s="3" t="str">
        <f t="shared" si="2"/>
        <v>SRI</v>
      </c>
      <c r="E222" s="3" t="str">
        <f t="shared" si="3"/>
        <v>TAMILNADU</v>
      </c>
      <c r="F222" s="3" t="str">
        <f t="shared" si="4"/>
        <v>THOOTHUKUDI</v>
      </c>
      <c r="G222" s="1" t="s">
        <v>703</v>
      </c>
      <c r="H222" s="3" t="str">
        <f t="shared" si="5"/>
        <v>DRESS</v>
      </c>
      <c r="I222" s="3" t="str">
        <f t="shared" si="6"/>
        <v>WOMEN WAERS</v>
      </c>
      <c r="J222" s="3">
        <f t="shared" si="7"/>
        <v>3</v>
      </c>
      <c r="K222" s="3">
        <f t="shared" si="8"/>
        <v>538</v>
      </c>
      <c r="L222" s="4">
        <f t="shared" si="9"/>
        <v>0.17</v>
      </c>
      <c r="M222" s="3">
        <f t="shared" si="10"/>
        <v>1339.62</v>
      </c>
      <c r="N222" s="3">
        <f t="shared" si="11"/>
        <v>938</v>
      </c>
      <c r="O222" s="3">
        <f t="shared" si="12"/>
        <v>402</v>
      </c>
      <c r="P222" s="3" t="str">
        <f t="shared" si="13"/>
        <v>UPI</v>
      </c>
      <c r="Q222" s="3" t="str">
        <f t="shared" si="14"/>
        <v>DELIVERED</v>
      </c>
    </row>
    <row r="223">
      <c r="A223" s="1" t="s">
        <v>704</v>
      </c>
      <c r="B223" s="2">
        <f t="shared" si="1"/>
        <v>46249</v>
      </c>
      <c r="C223" s="1" t="s">
        <v>705</v>
      </c>
      <c r="D223" s="3" t="str">
        <f t="shared" si="2"/>
        <v>SHOBN</v>
      </c>
      <c r="E223" s="3" t="str">
        <f t="shared" si="3"/>
        <v>KERALA</v>
      </c>
      <c r="F223" s="3" t="str">
        <f t="shared" si="4"/>
        <v>KOCHI</v>
      </c>
      <c r="G223" s="1" t="s">
        <v>706</v>
      </c>
      <c r="H223" s="3" t="str">
        <f t="shared" si="5"/>
        <v>BEAUTY</v>
      </c>
      <c r="I223" s="3" t="str">
        <f t="shared" si="6"/>
        <v>KAJAL</v>
      </c>
      <c r="J223" s="3">
        <f t="shared" si="7"/>
        <v>4</v>
      </c>
      <c r="K223" s="3">
        <f t="shared" si="8"/>
        <v>574</v>
      </c>
      <c r="L223" s="4">
        <f t="shared" si="9"/>
        <v>0</v>
      </c>
      <c r="M223" s="3">
        <f t="shared" si="10"/>
        <v>2296</v>
      </c>
      <c r="N223" s="3">
        <f t="shared" si="11"/>
        <v>1607</v>
      </c>
      <c r="O223" s="3">
        <f t="shared" si="12"/>
        <v>689</v>
      </c>
      <c r="P223" s="3" t="str">
        <f t="shared" si="13"/>
        <v>CARD</v>
      </c>
      <c r="Q223" s="3" t="str">
        <f t="shared" si="14"/>
        <v>SHIPPED</v>
      </c>
    </row>
    <row r="224">
      <c r="A224" s="1" t="s">
        <v>707</v>
      </c>
      <c r="B224" s="2">
        <f t="shared" si="1"/>
        <v>46051</v>
      </c>
      <c r="C224" s="1" t="s">
        <v>708</v>
      </c>
      <c r="D224" s="3" t="str">
        <f t="shared" si="2"/>
        <v>SOBI</v>
      </c>
      <c r="E224" s="3" t="str">
        <f t="shared" si="3"/>
        <v>KARNATAKA</v>
      </c>
      <c r="F224" s="3" t="str">
        <f t="shared" si="4"/>
        <v>BANGALURU</v>
      </c>
      <c r="G224" s="1" t="s">
        <v>709</v>
      </c>
      <c r="H224" s="3" t="str">
        <f t="shared" si="5"/>
        <v>HOME &amp; KITCHEN</v>
      </c>
      <c r="I224" s="3" t="str">
        <f t="shared" si="6"/>
        <v>MIXER GRAINDER</v>
      </c>
      <c r="J224" s="3">
        <f t="shared" si="7"/>
        <v>2</v>
      </c>
      <c r="K224" s="3">
        <f t="shared" si="8"/>
        <v>172</v>
      </c>
      <c r="L224" s="4">
        <f t="shared" si="9"/>
        <v>0.2</v>
      </c>
      <c r="M224" s="3">
        <f t="shared" si="10"/>
        <v>275.2</v>
      </c>
      <c r="N224" s="3">
        <f t="shared" si="11"/>
        <v>193</v>
      </c>
      <c r="O224" s="3">
        <f t="shared" si="12"/>
        <v>82</v>
      </c>
      <c r="P224" s="3" t="str">
        <f t="shared" si="13"/>
        <v>COD</v>
      </c>
      <c r="Q224" s="3" t="str">
        <f t="shared" si="14"/>
        <v>CANCELLED</v>
      </c>
    </row>
    <row r="225">
      <c r="A225" s="1" t="s">
        <v>710</v>
      </c>
      <c r="B225" s="2">
        <f t="shared" si="1"/>
        <v>46324</v>
      </c>
      <c r="C225" s="1" t="s">
        <v>711</v>
      </c>
      <c r="D225" s="3" t="str">
        <f t="shared" si="2"/>
        <v>SUJI</v>
      </c>
      <c r="E225" s="3" t="str">
        <f t="shared" si="3"/>
        <v>ANDHRA PRADESH</v>
      </c>
      <c r="F225" s="3" t="str">
        <f t="shared" si="4"/>
        <v>TIRUPATI</v>
      </c>
      <c r="G225" s="1" t="s">
        <v>712</v>
      </c>
      <c r="H225" s="3" t="str">
        <f t="shared" si="5"/>
        <v>BOOKS</v>
      </c>
      <c r="I225" s="3" t="str">
        <f t="shared" si="6"/>
        <v>LIFE OF PI</v>
      </c>
      <c r="J225" s="3">
        <f t="shared" si="7"/>
        <v>5</v>
      </c>
      <c r="K225" s="3">
        <f t="shared" si="8"/>
        <v>532</v>
      </c>
      <c r="L225" s="4">
        <f t="shared" si="9"/>
        <v>0.1</v>
      </c>
      <c r="M225" s="3">
        <f t="shared" si="10"/>
        <v>2394</v>
      </c>
      <c r="N225" s="3">
        <f t="shared" si="11"/>
        <v>1676</v>
      </c>
      <c r="O225" s="3">
        <f t="shared" si="12"/>
        <v>718</v>
      </c>
      <c r="P225" s="3" t="str">
        <f t="shared" si="13"/>
        <v>NET BANKING</v>
      </c>
      <c r="Q225" s="3" t="str">
        <f t="shared" si="14"/>
        <v>RETURNED</v>
      </c>
    </row>
    <row r="226">
      <c r="A226" s="1" t="s">
        <v>713</v>
      </c>
      <c r="B226" s="2">
        <f t="shared" si="1"/>
        <v>46335</v>
      </c>
      <c r="C226" s="1" t="s">
        <v>714</v>
      </c>
      <c r="D226" s="3" t="str">
        <f t="shared" si="2"/>
        <v>RATHA</v>
      </c>
      <c r="E226" s="3" t="str">
        <f t="shared" si="3"/>
        <v>TELUGANA</v>
      </c>
      <c r="F226" s="3" t="str">
        <f t="shared" si="4"/>
        <v>HYDERABAD</v>
      </c>
      <c r="G226" s="1" t="s">
        <v>715</v>
      </c>
      <c r="H226" s="3" t="str">
        <f t="shared" si="5"/>
        <v>ACCESSORIES</v>
      </c>
      <c r="I226" s="3" t="str">
        <f t="shared" si="6"/>
        <v>EARRINGS</v>
      </c>
      <c r="J226" s="3">
        <f t="shared" si="7"/>
        <v>4</v>
      </c>
      <c r="K226" s="3">
        <f t="shared" si="8"/>
        <v>272</v>
      </c>
      <c r="L226" s="4">
        <f t="shared" si="9"/>
        <v>0</v>
      </c>
      <c r="M226" s="3">
        <f t="shared" si="10"/>
        <v>1088</v>
      </c>
      <c r="N226" s="3">
        <f t="shared" si="11"/>
        <v>762</v>
      </c>
      <c r="O226" s="3">
        <f t="shared" si="12"/>
        <v>326</v>
      </c>
      <c r="P226" s="3" t="str">
        <f t="shared" si="13"/>
        <v>WALLET</v>
      </c>
      <c r="Q226" s="3" t="str">
        <f t="shared" si="14"/>
        <v>DELIVERED</v>
      </c>
    </row>
    <row r="227">
      <c r="A227" s="1" t="s">
        <v>716</v>
      </c>
      <c r="B227" s="2">
        <f t="shared" si="1"/>
        <v>46267</v>
      </c>
      <c r="C227" s="1" t="s">
        <v>717</v>
      </c>
      <c r="D227" s="3" t="str">
        <f t="shared" si="2"/>
        <v>SUSA</v>
      </c>
      <c r="E227" s="3" t="str">
        <f t="shared" si="3"/>
        <v>UTTHRA PRADESH</v>
      </c>
      <c r="F227" s="3" t="str">
        <f t="shared" si="4"/>
        <v>LUCKNOW</v>
      </c>
      <c r="G227" s="1" t="s">
        <v>718</v>
      </c>
      <c r="H227" s="3" t="str">
        <f t="shared" si="5"/>
        <v>ELECTRONICS</v>
      </c>
      <c r="I227" s="3" t="str">
        <f t="shared" si="6"/>
        <v>WIRELESS EARBUDS</v>
      </c>
      <c r="J227" s="3">
        <f t="shared" si="7"/>
        <v>1</v>
      </c>
      <c r="K227" s="3">
        <f t="shared" si="8"/>
        <v>154</v>
      </c>
      <c r="L227" s="4">
        <f t="shared" si="9"/>
        <v>0.15</v>
      </c>
      <c r="M227" s="3">
        <f t="shared" si="10"/>
        <v>130.9</v>
      </c>
      <c r="N227" s="3">
        <f t="shared" si="11"/>
        <v>92</v>
      </c>
      <c r="O227" s="3">
        <f t="shared" si="12"/>
        <v>39</v>
      </c>
      <c r="P227" s="3" t="str">
        <f t="shared" si="13"/>
        <v>UPI</v>
      </c>
      <c r="Q227" s="3" t="str">
        <f t="shared" si="14"/>
        <v>SHIPPED</v>
      </c>
    </row>
    <row r="228">
      <c r="A228" s="1" t="s">
        <v>719</v>
      </c>
      <c r="B228" s="2">
        <f t="shared" si="1"/>
        <v>46203</v>
      </c>
      <c r="C228" s="1" t="s">
        <v>720</v>
      </c>
      <c r="D228" s="3" t="str">
        <f t="shared" si="2"/>
        <v>NIVE</v>
      </c>
      <c r="E228" s="3" t="str">
        <f t="shared" si="3"/>
        <v>GUJARAT</v>
      </c>
      <c r="F228" s="3" t="str">
        <f t="shared" si="4"/>
        <v>SURAT</v>
      </c>
      <c r="G228" s="1" t="s">
        <v>721</v>
      </c>
      <c r="H228" s="3" t="str">
        <f t="shared" si="5"/>
        <v>SPORTS</v>
      </c>
      <c r="I228" s="3" t="str">
        <f t="shared" si="6"/>
        <v>FOOTBALL</v>
      </c>
      <c r="J228" s="3">
        <f t="shared" si="7"/>
        <v>5</v>
      </c>
      <c r="K228" s="3">
        <f t="shared" si="8"/>
        <v>339</v>
      </c>
      <c r="L228" s="4">
        <f t="shared" si="9"/>
        <v>0.5</v>
      </c>
      <c r="M228" s="3">
        <f t="shared" si="10"/>
        <v>847.5</v>
      </c>
      <c r="N228" s="3">
        <f t="shared" si="11"/>
        <v>593</v>
      </c>
      <c r="O228" s="3">
        <f t="shared" si="12"/>
        <v>255</v>
      </c>
      <c r="P228" s="3" t="str">
        <f t="shared" si="13"/>
        <v>CARD</v>
      </c>
      <c r="Q228" s="3" t="str">
        <f t="shared" si="14"/>
        <v>CANCELLED</v>
      </c>
    </row>
    <row r="229">
      <c r="A229" s="1" t="s">
        <v>724</v>
      </c>
      <c r="B229" s="2">
        <f t="shared" si="1"/>
        <v>46215</v>
      </c>
      <c r="C229" s="1" t="s">
        <v>726</v>
      </c>
      <c r="D229" s="3" t="str">
        <f t="shared" si="2"/>
        <v>VINO</v>
      </c>
      <c r="E229" s="3" t="str">
        <f t="shared" si="3"/>
        <v>RAJASTHAN</v>
      </c>
      <c r="F229" s="3" t="str">
        <f t="shared" si="4"/>
        <v>JAIPUR</v>
      </c>
      <c r="G229" s="1" t="s">
        <v>730</v>
      </c>
      <c r="H229" s="3" t="str">
        <f t="shared" si="5"/>
        <v>FOOD</v>
      </c>
      <c r="I229" s="3" t="str">
        <f t="shared" si="6"/>
        <v>BIRIYANI</v>
      </c>
      <c r="J229" s="3">
        <f t="shared" si="7"/>
        <v>3</v>
      </c>
      <c r="K229" s="3">
        <f t="shared" si="8"/>
        <v>302</v>
      </c>
      <c r="L229" s="4">
        <f t="shared" si="9"/>
        <v>0.15</v>
      </c>
      <c r="M229" s="3">
        <f t="shared" si="10"/>
        <v>770.1</v>
      </c>
      <c r="N229" s="3">
        <f t="shared" si="11"/>
        <v>539</v>
      </c>
      <c r="O229" s="3">
        <f t="shared" si="12"/>
        <v>231</v>
      </c>
      <c r="P229" s="3" t="str">
        <f t="shared" si="13"/>
        <v>COD</v>
      </c>
      <c r="Q229" s="3" t="str">
        <f t="shared" si="14"/>
        <v>RETURNED</v>
      </c>
    </row>
    <row r="230">
      <c r="A230" s="1" t="s">
        <v>733</v>
      </c>
      <c r="B230" s="2">
        <f t="shared" si="1"/>
        <v>46214</v>
      </c>
      <c r="C230" s="1" t="s">
        <v>734</v>
      </c>
      <c r="D230" s="3" t="str">
        <f t="shared" si="2"/>
        <v>ABI</v>
      </c>
      <c r="E230" s="3" t="str">
        <f t="shared" si="3"/>
        <v>WEST BENGAL</v>
      </c>
      <c r="F230" s="3" t="str">
        <f t="shared" si="4"/>
        <v>KOLKATA</v>
      </c>
      <c r="G230" s="1" t="s">
        <v>735</v>
      </c>
      <c r="H230" s="3" t="str">
        <f t="shared" si="5"/>
        <v>DRESS</v>
      </c>
      <c r="I230" s="3" t="str">
        <f t="shared" si="6"/>
        <v>WOMEN WAERS</v>
      </c>
      <c r="J230" s="3">
        <f t="shared" si="7"/>
        <v>5</v>
      </c>
      <c r="K230" s="3">
        <f t="shared" si="8"/>
        <v>485</v>
      </c>
      <c r="L230" s="4">
        <f t="shared" si="9"/>
        <v>0</v>
      </c>
      <c r="M230" s="3">
        <f t="shared" si="10"/>
        <v>2425</v>
      </c>
      <c r="N230" s="3">
        <f t="shared" si="11"/>
        <v>1698</v>
      </c>
      <c r="O230" s="3">
        <f t="shared" si="12"/>
        <v>727</v>
      </c>
      <c r="P230" s="3" t="str">
        <f t="shared" si="13"/>
        <v>NET BANKING</v>
      </c>
      <c r="Q230" s="3" t="str">
        <f t="shared" si="14"/>
        <v>DELIVERED</v>
      </c>
    </row>
    <row r="231">
      <c r="A231" s="1" t="s">
        <v>736</v>
      </c>
      <c r="B231" s="2">
        <f t="shared" si="1"/>
        <v>46189</v>
      </c>
      <c r="C231" s="1" t="s">
        <v>737</v>
      </c>
      <c r="D231" s="3" t="str">
        <f t="shared" si="2"/>
        <v>NIHAAR</v>
      </c>
      <c r="E231" s="3" t="str">
        <f t="shared" si="3"/>
        <v>MAGARASTRA</v>
      </c>
      <c r="F231" s="3" t="str">
        <f t="shared" si="4"/>
        <v>PUNE</v>
      </c>
      <c r="G231" s="1" t="s">
        <v>738</v>
      </c>
      <c r="H231" s="3" t="str">
        <f t="shared" si="5"/>
        <v>BEAUTY</v>
      </c>
      <c r="I231" s="3" t="str">
        <f t="shared" si="6"/>
        <v>KAJAL</v>
      </c>
      <c r="J231" s="3">
        <f t="shared" si="7"/>
        <v>2</v>
      </c>
      <c r="K231" s="3">
        <f t="shared" si="8"/>
        <v>343</v>
      </c>
      <c r="L231" s="4">
        <f t="shared" si="9"/>
        <v>0</v>
      </c>
      <c r="M231" s="3">
        <f t="shared" si="10"/>
        <v>686</v>
      </c>
      <c r="N231" s="3">
        <f t="shared" si="11"/>
        <v>480</v>
      </c>
      <c r="O231" s="3">
        <f t="shared" si="12"/>
        <v>206</v>
      </c>
      <c r="P231" s="3" t="str">
        <f t="shared" si="13"/>
        <v>WALLET</v>
      </c>
      <c r="Q231" s="3" t="str">
        <f t="shared" si="14"/>
        <v>SHIPPED</v>
      </c>
    </row>
    <row r="232">
      <c r="A232" s="1" t="s">
        <v>739</v>
      </c>
      <c r="B232" s="2">
        <f t="shared" si="1"/>
        <v>46196</v>
      </c>
      <c r="C232" s="1" t="s">
        <v>740</v>
      </c>
      <c r="D232" s="3" t="str">
        <f t="shared" si="2"/>
        <v>SRI</v>
      </c>
      <c r="E232" s="3" t="str">
        <f t="shared" si="3"/>
        <v>TAMILNADU</v>
      </c>
      <c r="F232" s="3" t="str">
        <f t="shared" si="4"/>
        <v>THOOTHUKUDI</v>
      </c>
      <c r="G232" s="1" t="s">
        <v>741</v>
      </c>
      <c r="H232" s="3" t="str">
        <f t="shared" si="5"/>
        <v>HOME &amp; KITCHEN</v>
      </c>
      <c r="I232" s="3" t="str">
        <f t="shared" si="6"/>
        <v>MIXER GRAINDER</v>
      </c>
      <c r="J232" s="3">
        <f t="shared" si="7"/>
        <v>4</v>
      </c>
      <c r="K232" s="3">
        <f t="shared" si="8"/>
        <v>416</v>
      </c>
      <c r="L232" s="4">
        <f t="shared" si="9"/>
        <v>0.2</v>
      </c>
      <c r="M232" s="3">
        <f t="shared" si="10"/>
        <v>1331.2</v>
      </c>
      <c r="N232" s="3">
        <f t="shared" si="11"/>
        <v>932</v>
      </c>
      <c r="O232" s="3">
        <f t="shared" si="12"/>
        <v>399</v>
      </c>
      <c r="P232" s="3" t="str">
        <f t="shared" si="13"/>
        <v>UPI</v>
      </c>
      <c r="Q232" s="3" t="str">
        <f t="shared" si="14"/>
        <v>CANCELLED</v>
      </c>
    </row>
    <row r="233">
      <c r="A233" s="1" t="s">
        <v>742</v>
      </c>
      <c r="B233" s="2">
        <f t="shared" si="1"/>
        <v>46353</v>
      </c>
      <c r="C233" s="1" t="s">
        <v>743</v>
      </c>
      <c r="D233" s="3" t="str">
        <f t="shared" si="2"/>
        <v>SHOBN</v>
      </c>
      <c r="E233" s="3" t="str">
        <f t="shared" si="3"/>
        <v>KERALA</v>
      </c>
      <c r="F233" s="3" t="str">
        <f t="shared" si="4"/>
        <v>KOCHI</v>
      </c>
      <c r="G233" s="1" t="s">
        <v>744</v>
      </c>
      <c r="H233" s="3" t="str">
        <f t="shared" si="5"/>
        <v>BOOKS</v>
      </c>
      <c r="I233" s="3" t="str">
        <f t="shared" si="6"/>
        <v>LIFE OF PI</v>
      </c>
      <c r="J233" s="3">
        <f t="shared" si="7"/>
        <v>2</v>
      </c>
      <c r="K233" s="3">
        <f t="shared" si="8"/>
        <v>485</v>
      </c>
      <c r="L233" s="4">
        <f t="shared" si="9"/>
        <v>0</v>
      </c>
      <c r="M233" s="3">
        <f t="shared" si="10"/>
        <v>970</v>
      </c>
      <c r="N233" s="3">
        <f t="shared" si="11"/>
        <v>679</v>
      </c>
      <c r="O233" s="3">
        <f t="shared" si="12"/>
        <v>291</v>
      </c>
      <c r="P233" s="3" t="str">
        <f t="shared" si="13"/>
        <v>CARD</v>
      </c>
      <c r="Q233" s="3" t="str">
        <f t="shared" si="14"/>
        <v>RETURNED</v>
      </c>
    </row>
    <row r="234">
      <c r="A234" s="1" t="s">
        <v>745</v>
      </c>
      <c r="B234" s="2">
        <f t="shared" si="1"/>
        <v>46268</v>
      </c>
      <c r="C234" s="1" t="s">
        <v>746</v>
      </c>
      <c r="D234" s="3" t="str">
        <f t="shared" si="2"/>
        <v>SOBI</v>
      </c>
      <c r="E234" s="3" t="str">
        <f t="shared" si="3"/>
        <v>KARNATAKA</v>
      </c>
      <c r="F234" s="3" t="str">
        <f t="shared" si="4"/>
        <v>BANGALURU</v>
      </c>
      <c r="G234" s="1" t="s">
        <v>747</v>
      </c>
      <c r="H234" s="3" t="str">
        <f t="shared" si="5"/>
        <v>ACCESSORIES</v>
      </c>
      <c r="I234" s="3" t="str">
        <f t="shared" si="6"/>
        <v>EARRINGS</v>
      </c>
      <c r="J234" s="3">
        <f t="shared" si="7"/>
        <v>1</v>
      </c>
      <c r="K234" s="3">
        <f t="shared" si="8"/>
        <v>139</v>
      </c>
      <c r="L234" s="4">
        <f t="shared" si="9"/>
        <v>0.15</v>
      </c>
      <c r="M234" s="3">
        <f t="shared" si="10"/>
        <v>118.15</v>
      </c>
      <c r="N234" s="3">
        <f t="shared" si="11"/>
        <v>83</v>
      </c>
      <c r="O234" s="3">
        <f t="shared" si="12"/>
        <v>35</v>
      </c>
      <c r="P234" s="3" t="str">
        <f t="shared" si="13"/>
        <v>COD</v>
      </c>
      <c r="Q234" s="3" t="str">
        <f t="shared" si="14"/>
        <v>DELIVERED</v>
      </c>
    </row>
    <row r="235">
      <c r="A235" s="1" t="s">
        <v>748</v>
      </c>
      <c r="B235" s="2">
        <f t="shared" si="1"/>
        <v>46333</v>
      </c>
      <c r="C235" s="1" t="s">
        <v>749</v>
      </c>
      <c r="D235" s="3" t="str">
        <f t="shared" si="2"/>
        <v>SUJI</v>
      </c>
      <c r="E235" s="3" t="str">
        <f t="shared" si="3"/>
        <v>ANDHRA PRADESH</v>
      </c>
      <c r="F235" s="3" t="str">
        <f t="shared" si="4"/>
        <v>TIRUPATI</v>
      </c>
      <c r="G235" s="1" t="s">
        <v>750</v>
      </c>
      <c r="H235" s="3" t="str">
        <f t="shared" si="5"/>
        <v>ELECTRONICS</v>
      </c>
      <c r="I235" s="3" t="str">
        <f t="shared" si="6"/>
        <v>WIRELESS EARBUDS</v>
      </c>
      <c r="J235" s="3">
        <f t="shared" si="7"/>
        <v>3</v>
      </c>
      <c r="K235" s="3">
        <f t="shared" si="8"/>
        <v>308</v>
      </c>
      <c r="L235" s="4">
        <f t="shared" si="9"/>
        <v>0</v>
      </c>
      <c r="M235" s="3">
        <f t="shared" si="10"/>
        <v>924</v>
      </c>
      <c r="N235" s="3">
        <f t="shared" si="11"/>
        <v>647</v>
      </c>
      <c r="O235" s="3">
        <f t="shared" si="12"/>
        <v>277</v>
      </c>
      <c r="P235" s="3" t="str">
        <f t="shared" si="13"/>
        <v>NET BANKING</v>
      </c>
      <c r="Q235" s="3" t="str">
        <f t="shared" si="14"/>
        <v>SHIPPED</v>
      </c>
    </row>
    <row r="236">
      <c r="A236" s="1" t="s">
        <v>751</v>
      </c>
      <c r="B236" s="2">
        <f t="shared" si="1"/>
        <v>46084</v>
      </c>
      <c r="C236" s="1" t="s">
        <v>752</v>
      </c>
      <c r="D236" s="3" t="str">
        <f t="shared" si="2"/>
        <v>RATHA</v>
      </c>
      <c r="E236" s="3" t="str">
        <f t="shared" si="3"/>
        <v>TELUGANA</v>
      </c>
      <c r="F236" s="3" t="str">
        <f t="shared" si="4"/>
        <v>HYDERABAD</v>
      </c>
      <c r="G236" s="1" t="s">
        <v>753</v>
      </c>
      <c r="H236" s="3" t="str">
        <f t="shared" si="5"/>
        <v>SPORTS</v>
      </c>
      <c r="I236" s="3" t="str">
        <f t="shared" si="6"/>
        <v>FOOTBALL</v>
      </c>
      <c r="J236" s="3">
        <f t="shared" si="7"/>
        <v>4</v>
      </c>
      <c r="K236" s="3">
        <f t="shared" si="8"/>
        <v>188</v>
      </c>
      <c r="L236" s="4">
        <f t="shared" si="9"/>
        <v>0.2</v>
      </c>
      <c r="M236" s="3">
        <f t="shared" si="10"/>
        <v>601.6</v>
      </c>
      <c r="N236" s="3">
        <f t="shared" si="11"/>
        <v>421</v>
      </c>
      <c r="O236" s="3">
        <f t="shared" si="12"/>
        <v>181</v>
      </c>
      <c r="P236" s="3" t="str">
        <f t="shared" si="13"/>
        <v>WALLET</v>
      </c>
      <c r="Q236" s="3" t="str">
        <f t="shared" si="14"/>
        <v>CANCELLED</v>
      </c>
    </row>
    <row r="237">
      <c r="A237" s="1" t="s">
        <v>754</v>
      </c>
      <c r="B237" s="2">
        <f t="shared" si="1"/>
        <v>46098</v>
      </c>
      <c r="C237" s="1" t="s">
        <v>755</v>
      </c>
      <c r="D237" s="3" t="str">
        <f t="shared" si="2"/>
        <v>SUSA</v>
      </c>
      <c r="E237" s="3" t="str">
        <f t="shared" si="3"/>
        <v>UTTHRA PRADESH</v>
      </c>
      <c r="F237" s="3" t="str">
        <f t="shared" si="4"/>
        <v>LUCKNOW</v>
      </c>
      <c r="G237" s="1" t="s">
        <v>756</v>
      </c>
      <c r="H237" s="3" t="str">
        <f t="shared" si="5"/>
        <v>FOOD</v>
      </c>
      <c r="I237" s="3" t="str">
        <f t="shared" si="6"/>
        <v>BIRIYANI</v>
      </c>
      <c r="J237" s="3">
        <f t="shared" si="7"/>
        <v>3</v>
      </c>
      <c r="K237" s="3">
        <f t="shared" si="8"/>
        <v>117</v>
      </c>
      <c r="L237" s="4">
        <f t="shared" si="9"/>
        <v>0.15</v>
      </c>
      <c r="M237" s="3">
        <f t="shared" si="10"/>
        <v>298.35</v>
      </c>
      <c r="N237" s="3">
        <f t="shared" si="11"/>
        <v>209</v>
      </c>
      <c r="O237" s="3">
        <f t="shared" si="12"/>
        <v>89</v>
      </c>
      <c r="P237" s="3" t="str">
        <f t="shared" si="13"/>
        <v>UPI</v>
      </c>
      <c r="Q237" s="3" t="str">
        <f t="shared" si="14"/>
        <v>RETURNED</v>
      </c>
    </row>
    <row r="238">
      <c r="A238" s="1" t="s">
        <v>757</v>
      </c>
      <c r="B238" s="2">
        <f t="shared" si="1"/>
        <v>46028</v>
      </c>
      <c r="C238" s="1" t="s">
        <v>758</v>
      </c>
      <c r="D238" s="3" t="str">
        <f t="shared" si="2"/>
        <v>NIVE</v>
      </c>
      <c r="E238" s="3" t="str">
        <f t="shared" si="3"/>
        <v>GUJARAT</v>
      </c>
      <c r="F238" s="3" t="str">
        <f t="shared" si="4"/>
        <v>SURAT</v>
      </c>
      <c r="G238" s="1" t="s">
        <v>759</v>
      </c>
      <c r="H238" s="3" t="str">
        <f t="shared" si="5"/>
        <v>DRESS</v>
      </c>
      <c r="I238" s="3" t="str">
        <f t="shared" si="6"/>
        <v>WOMEN WAERS</v>
      </c>
      <c r="J238" s="3">
        <f t="shared" si="7"/>
        <v>2</v>
      </c>
      <c r="K238" s="3">
        <f t="shared" si="8"/>
        <v>571</v>
      </c>
      <c r="L238" s="4">
        <f t="shared" si="9"/>
        <v>0.1</v>
      </c>
      <c r="M238" s="3">
        <f t="shared" si="10"/>
        <v>1027.8</v>
      </c>
      <c r="N238" s="3">
        <f t="shared" si="11"/>
        <v>719</v>
      </c>
      <c r="O238" s="3">
        <f t="shared" si="12"/>
        <v>309</v>
      </c>
      <c r="P238" s="3" t="str">
        <f t="shared" si="13"/>
        <v>CARD</v>
      </c>
      <c r="Q238" s="3" t="str">
        <f t="shared" si="14"/>
        <v>DELIVERED</v>
      </c>
    </row>
    <row r="239">
      <c r="A239" s="1" t="s">
        <v>760</v>
      </c>
      <c r="B239" s="2">
        <f t="shared" si="1"/>
        <v>46102</v>
      </c>
      <c r="C239" s="1" t="s">
        <v>761</v>
      </c>
      <c r="D239" s="3" t="str">
        <f t="shared" si="2"/>
        <v>VINO</v>
      </c>
      <c r="E239" s="3" t="str">
        <f t="shared" si="3"/>
        <v>RAJASTHAN</v>
      </c>
      <c r="F239" s="3" t="str">
        <f t="shared" si="4"/>
        <v>JAIPUR</v>
      </c>
      <c r="G239" s="1" t="s">
        <v>762</v>
      </c>
      <c r="H239" s="3" t="str">
        <f t="shared" si="5"/>
        <v>BEAUTY</v>
      </c>
      <c r="I239" s="3" t="str">
        <f t="shared" si="6"/>
        <v>KAJAL</v>
      </c>
      <c r="J239" s="3">
        <f t="shared" si="7"/>
        <v>1</v>
      </c>
      <c r="K239" s="3">
        <f t="shared" si="8"/>
        <v>208</v>
      </c>
      <c r="L239" s="4">
        <f t="shared" si="9"/>
        <v>0</v>
      </c>
      <c r="M239" s="3">
        <f t="shared" si="10"/>
        <v>208</v>
      </c>
      <c r="N239" s="3">
        <f t="shared" si="11"/>
        <v>146</v>
      </c>
      <c r="O239" s="3">
        <f t="shared" si="12"/>
        <v>62</v>
      </c>
      <c r="P239" s="3" t="str">
        <f t="shared" si="13"/>
        <v>COD</v>
      </c>
      <c r="Q239" s="3" t="str">
        <f t="shared" si="14"/>
        <v>SHIPPED</v>
      </c>
    </row>
    <row r="240">
      <c r="A240" s="1" t="s">
        <v>763</v>
      </c>
      <c r="B240" s="2">
        <f t="shared" si="1"/>
        <v>46301</v>
      </c>
      <c r="C240" s="1" t="s">
        <v>764</v>
      </c>
      <c r="D240" s="3" t="str">
        <f t="shared" si="2"/>
        <v>ABI</v>
      </c>
      <c r="E240" s="3" t="str">
        <f t="shared" si="3"/>
        <v>WEST BENGAL</v>
      </c>
      <c r="F240" s="3" t="str">
        <f t="shared" si="4"/>
        <v>KOLKATA</v>
      </c>
      <c r="G240" s="1" t="s">
        <v>765</v>
      </c>
      <c r="H240" s="3" t="str">
        <f t="shared" si="5"/>
        <v>HOME &amp; KITCHEN</v>
      </c>
      <c r="I240" s="3" t="str">
        <f t="shared" si="6"/>
        <v>MIXER GRAINDER</v>
      </c>
      <c r="J240" s="3">
        <f t="shared" si="7"/>
        <v>1</v>
      </c>
      <c r="K240" s="3">
        <f t="shared" si="8"/>
        <v>116</v>
      </c>
      <c r="L240" s="4">
        <f t="shared" si="9"/>
        <v>0.1</v>
      </c>
      <c r="M240" s="3">
        <f t="shared" si="10"/>
        <v>104.4</v>
      </c>
      <c r="N240" s="3">
        <f t="shared" si="11"/>
        <v>73</v>
      </c>
      <c r="O240" s="3">
        <f t="shared" si="12"/>
        <v>31</v>
      </c>
      <c r="P240" s="3" t="str">
        <f t="shared" si="13"/>
        <v>NET BANKING</v>
      </c>
      <c r="Q240" s="3" t="str">
        <f t="shared" si="14"/>
        <v>CANCELLED</v>
      </c>
    </row>
    <row r="241">
      <c r="A241" s="1" t="s">
        <v>766</v>
      </c>
      <c r="B241" s="2">
        <f t="shared" si="1"/>
        <v>46240</v>
      </c>
      <c r="C241" s="1" t="s">
        <v>767</v>
      </c>
      <c r="D241" s="3" t="str">
        <f t="shared" si="2"/>
        <v>NIHAAR</v>
      </c>
      <c r="E241" s="3" t="str">
        <f t="shared" si="3"/>
        <v>MAGARASTRA</v>
      </c>
      <c r="F241" s="3" t="str">
        <f t="shared" si="4"/>
        <v>PUNE</v>
      </c>
      <c r="G241" s="1" t="s">
        <v>768</v>
      </c>
      <c r="H241" s="3" t="str">
        <f t="shared" si="5"/>
        <v>BOOKS</v>
      </c>
      <c r="I241" s="3" t="str">
        <f t="shared" si="6"/>
        <v>LIFE OF PI</v>
      </c>
      <c r="J241" s="3">
        <f t="shared" si="7"/>
        <v>3</v>
      </c>
      <c r="K241" s="3">
        <f t="shared" si="8"/>
        <v>203</v>
      </c>
      <c r="L241" s="4">
        <f t="shared" si="9"/>
        <v>0.15</v>
      </c>
      <c r="M241" s="3">
        <f t="shared" si="10"/>
        <v>517.65</v>
      </c>
      <c r="N241" s="3">
        <f t="shared" si="11"/>
        <v>362</v>
      </c>
      <c r="O241" s="3">
        <f t="shared" si="12"/>
        <v>156</v>
      </c>
      <c r="P241" s="3" t="str">
        <f t="shared" si="13"/>
        <v>WALLET</v>
      </c>
      <c r="Q241" s="3" t="str">
        <f t="shared" si="14"/>
        <v>RETURNED</v>
      </c>
    </row>
    <row r="242">
      <c r="A242" s="1" t="s">
        <v>769</v>
      </c>
      <c r="B242" s="2">
        <f t="shared" si="1"/>
        <v>46308</v>
      </c>
      <c r="C242" s="1" t="s">
        <v>770</v>
      </c>
      <c r="D242" s="3" t="str">
        <f t="shared" si="2"/>
        <v>SRI</v>
      </c>
      <c r="E242" s="3" t="str">
        <f t="shared" si="3"/>
        <v>TAMILNADU</v>
      </c>
      <c r="F242" s="3" t="str">
        <f t="shared" si="4"/>
        <v>THOOTHUKUDI</v>
      </c>
      <c r="G242" s="1" t="s">
        <v>771</v>
      </c>
      <c r="H242" s="3" t="str">
        <f t="shared" si="5"/>
        <v>ACCESSORIES</v>
      </c>
      <c r="I242" s="3" t="str">
        <f t="shared" si="6"/>
        <v>EARRINGS</v>
      </c>
      <c r="J242" s="3">
        <f t="shared" si="7"/>
        <v>3</v>
      </c>
      <c r="K242" s="3">
        <f t="shared" si="8"/>
        <v>334</v>
      </c>
      <c r="L242" s="4">
        <f t="shared" si="9"/>
        <v>0.2</v>
      </c>
      <c r="M242" s="3">
        <f t="shared" si="10"/>
        <v>801.6</v>
      </c>
      <c r="N242" s="3">
        <f t="shared" si="11"/>
        <v>561</v>
      </c>
      <c r="O242" s="3">
        <f t="shared" si="12"/>
        <v>241</v>
      </c>
      <c r="P242" s="3" t="str">
        <f t="shared" si="13"/>
        <v>UPI</v>
      </c>
      <c r="Q242" s="3" t="str">
        <f t="shared" si="14"/>
        <v>DELIVERED</v>
      </c>
    </row>
    <row r="243">
      <c r="A243" s="1" t="s">
        <v>772</v>
      </c>
      <c r="B243" s="2">
        <f t="shared" si="1"/>
        <v>46285</v>
      </c>
      <c r="C243" s="1" t="s">
        <v>773</v>
      </c>
      <c r="D243" s="3" t="str">
        <f t="shared" si="2"/>
        <v>SHOBN</v>
      </c>
      <c r="E243" s="3" t="str">
        <f t="shared" si="3"/>
        <v>KERALA</v>
      </c>
      <c r="F243" s="3" t="str">
        <f t="shared" si="4"/>
        <v>KOCHI</v>
      </c>
      <c r="G243" s="1" t="s">
        <v>774</v>
      </c>
      <c r="H243" s="3" t="str">
        <f t="shared" si="5"/>
        <v>ELECTRONICS</v>
      </c>
      <c r="I243" s="3" t="str">
        <f t="shared" si="6"/>
        <v>WIRELESS EARBUDS</v>
      </c>
      <c r="J243" s="3">
        <f t="shared" si="7"/>
        <v>5</v>
      </c>
      <c r="K243" s="3">
        <f t="shared" si="8"/>
        <v>396</v>
      </c>
      <c r="L243" s="4">
        <f t="shared" si="9"/>
        <v>0.17</v>
      </c>
      <c r="M243" s="3">
        <f t="shared" si="10"/>
        <v>1643.4</v>
      </c>
      <c r="N243" s="3">
        <f t="shared" si="11"/>
        <v>1150</v>
      </c>
      <c r="O243" s="3">
        <f t="shared" si="12"/>
        <v>493</v>
      </c>
      <c r="P243" s="3" t="str">
        <f t="shared" si="13"/>
        <v>CARD</v>
      </c>
      <c r="Q243" s="3" t="str">
        <f t="shared" si="14"/>
        <v>SHIPPED</v>
      </c>
    </row>
    <row r="244">
      <c r="A244" s="1" t="s">
        <v>775</v>
      </c>
      <c r="B244" s="2">
        <f t="shared" si="1"/>
        <v>46144</v>
      </c>
      <c r="C244" s="1" t="s">
        <v>776</v>
      </c>
      <c r="D244" s="3" t="str">
        <f t="shared" si="2"/>
        <v>SOBI</v>
      </c>
      <c r="E244" s="3" t="str">
        <f t="shared" si="3"/>
        <v>KARNATAKA</v>
      </c>
      <c r="F244" s="3" t="str">
        <f t="shared" si="4"/>
        <v>BANGALURU</v>
      </c>
      <c r="G244" s="1" t="s">
        <v>777</v>
      </c>
      <c r="H244" s="3" t="str">
        <f t="shared" si="5"/>
        <v>SPORTS</v>
      </c>
      <c r="I244" s="3" t="str">
        <f t="shared" si="6"/>
        <v>FOOTBALL</v>
      </c>
      <c r="J244" s="3">
        <f t="shared" si="7"/>
        <v>3</v>
      </c>
      <c r="K244" s="3">
        <f t="shared" si="8"/>
        <v>163</v>
      </c>
      <c r="L244" s="4">
        <f t="shared" si="9"/>
        <v>0</v>
      </c>
      <c r="M244" s="3">
        <f t="shared" si="10"/>
        <v>489</v>
      </c>
      <c r="N244" s="3">
        <f t="shared" si="11"/>
        <v>342</v>
      </c>
      <c r="O244" s="3">
        <f t="shared" si="12"/>
        <v>147</v>
      </c>
      <c r="P244" s="3" t="str">
        <f t="shared" si="13"/>
        <v>COD</v>
      </c>
      <c r="Q244" s="3" t="str">
        <f t="shared" si="14"/>
        <v>CANCELLED</v>
      </c>
    </row>
    <row r="245">
      <c r="A245" s="1" t="s">
        <v>778</v>
      </c>
      <c r="B245" s="2">
        <f t="shared" si="1"/>
        <v>46138</v>
      </c>
      <c r="C245" s="1" t="s">
        <v>779</v>
      </c>
      <c r="D245" s="3" t="str">
        <f t="shared" si="2"/>
        <v>SUJI</v>
      </c>
      <c r="E245" s="3" t="str">
        <f t="shared" si="3"/>
        <v>ANDHRA PRADESH</v>
      </c>
      <c r="F245" s="3" t="str">
        <f t="shared" si="4"/>
        <v>TIRUPATI</v>
      </c>
      <c r="G245" s="1" t="s">
        <v>780</v>
      </c>
      <c r="H245" s="3" t="str">
        <f t="shared" si="5"/>
        <v>FOOD</v>
      </c>
      <c r="I245" s="3" t="str">
        <f t="shared" si="6"/>
        <v>BIRIYANI</v>
      </c>
      <c r="J245" s="3">
        <f t="shared" si="7"/>
        <v>5</v>
      </c>
      <c r="K245" s="3">
        <f t="shared" si="8"/>
        <v>137</v>
      </c>
      <c r="L245" s="4">
        <f t="shared" si="9"/>
        <v>0.2</v>
      </c>
      <c r="M245" s="3">
        <f t="shared" si="10"/>
        <v>548</v>
      </c>
      <c r="N245" s="3">
        <f t="shared" si="11"/>
        <v>384</v>
      </c>
      <c r="O245" s="3">
        <f t="shared" si="12"/>
        <v>164</v>
      </c>
      <c r="P245" s="3" t="str">
        <f t="shared" si="13"/>
        <v>NET BANKING</v>
      </c>
      <c r="Q245" s="3" t="str">
        <f t="shared" si="14"/>
        <v>RETURNED</v>
      </c>
    </row>
    <row r="246">
      <c r="A246" s="1" t="s">
        <v>781</v>
      </c>
      <c r="B246" s="2">
        <f t="shared" si="1"/>
        <v>46074</v>
      </c>
      <c r="C246" s="1" t="s">
        <v>782</v>
      </c>
      <c r="D246" s="3" t="str">
        <f t="shared" si="2"/>
        <v>RATHA</v>
      </c>
      <c r="E246" s="3" t="str">
        <f t="shared" si="3"/>
        <v>TELUGANA</v>
      </c>
      <c r="F246" s="3" t="str">
        <f t="shared" si="4"/>
        <v>HYDERABAD</v>
      </c>
      <c r="G246" s="1" t="s">
        <v>783</v>
      </c>
      <c r="H246" s="3" t="str">
        <f t="shared" si="5"/>
        <v>DRESS</v>
      </c>
      <c r="I246" s="3" t="str">
        <f t="shared" si="6"/>
        <v>WOMEN WAERS</v>
      </c>
      <c r="J246" s="3">
        <f t="shared" si="7"/>
        <v>1</v>
      </c>
      <c r="K246" s="3">
        <f t="shared" si="8"/>
        <v>499</v>
      </c>
      <c r="L246" s="4">
        <f t="shared" si="9"/>
        <v>0.1</v>
      </c>
      <c r="M246" s="3">
        <f t="shared" si="10"/>
        <v>449.1</v>
      </c>
      <c r="N246" s="3">
        <f t="shared" si="11"/>
        <v>314</v>
      </c>
      <c r="O246" s="3">
        <f t="shared" si="12"/>
        <v>135</v>
      </c>
      <c r="P246" s="3" t="str">
        <f t="shared" si="13"/>
        <v>WALLET</v>
      </c>
      <c r="Q246" s="3" t="str">
        <f t="shared" si="14"/>
        <v>DELIVERED</v>
      </c>
    </row>
    <row r="247">
      <c r="A247" s="1" t="s">
        <v>784</v>
      </c>
      <c r="B247" s="2">
        <f t="shared" si="1"/>
        <v>46131</v>
      </c>
      <c r="C247" s="1" t="s">
        <v>785</v>
      </c>
      <c r="D247" s="3" t="str">
        <f t="shared" si="2"/>
        <v>SUSA</v>
      </c>
      <c r="E247" s="3" t="str">
        <f t="shared" si="3"/>
        <v>UTTHRA PRADESH</v>
      </c>
      <c r="F247" s="3" t="str">
        <f t="shared" si="4"/>
        <v>LUCKNOW</v>
      </c>
      <c r="G247" s="1" t="s">
        <v>786</v>
      </c>
      <c r="H247" s="3" t="str">
        <f t="shared" si="5"/>
        <v>BEAUTY</v>
      </c>
      <c r="I247" s="3" t="str">
        <f t="shared" si="6"/>
        <v>KAJAL</v>
      </c>
      <c r="J247" s="3">
        <f t="shared" si="7"/>
        <v>5</v>
      </c>
      <c r="K247" s="3">
        <f t="shared" si="8"/>
        <v>352</v>
      </c>
      <c r="L247" s="4">
        <f t="shared" si="9"/>
        <v>0.2</v>
      </c>
      <c r="M247" s="3">
        <f t="shared" si="10"/>
        <v>1408</v>
      </c>
      <c r="N247" s="3">
        <f t="shared" si="11"/>
        <v>986</v>
      </c>
      <c r="O247" s="3">
        <f t="shared" si="12"/>
        <v>422</v>
      </c>
      <c r="P247" s="3" t="str">
        <f t="shared" si="13"/>
        <v>UPI</v>
      </c>
      <c r="Q247" s="3" t="str">
        <f t="shared" si="14"/>
        <v>SHIPPED</v>
      </c>
    </row>
    <row r="248">
      <c r="A248" s="1" t="s">
        <v>787</v>
      </c>
      <c r="B248" s="2">
        <f t="shared" si="1"/>
        <v>46330</v>
      </c>
      <c r="C248" s="1" t="s">
        <v>788</v>
      </c>
      <c r="D248" s="3" t="str">
        <f t="shared" si="2"/>
        <v>NIVE</v>
      </c>
      <c r="E248" s="3" t="str">
        <f t="shared" si="3"/>
        <v>GUJARAT</v>
      </c>
      <c r="F248" s="3" t="str">
        <f t="shared" si="4"/>
        <v>SURAT</v>
      </c>
      <c r="G248" s="1" t="s">
        <v>789</v>
      </c>
      <c r="H248" s="3" t="str">
        <f t="shared" si="5"/>
        <v>HOME &amp; KITCHEN</v>
      </c>
      <c r="I248" s="3" t="str">
        <f t="shared" si="6"/>
        <v>MIXER GRAINDER</v>
      </c>
      <c r="J248" s="3">
        <f t="shared" si="7"/>
        <v>2</v>
      </c>
      <c r="K248" s="3">
        <f t="shared" si="8"/>
        <v>563</v>
      </c>
      <c r="L248" s="4">
        <f t="shared" si="9"/>
        <v>0.17</v>
      </c>
      <c r="M248" s="3">
        <f t="shared" si="10"/>
        <v>934.58</v>
      </c>
      <c r="N248" s="3">
        <f t="shared" si="11"/>
        <v>654</v>
      </c>
      <c r="O248" s="3">
        <f t="shared" si="12"/>
        <v>281</v>
      </c>
      <c r="P248" s="3" t="str">
        <f t="shared" si="13"/>
        <v>CARD</v>
      </c>
      <c r="Q248" s="3" t="str">
        <f t="shared" si="14"/>
        <v>CANCELLED</v>
      </c>
    </row>
    <row r="249">
      <c r="A249" s="1" t="s">
        <v>790</v>
      </c>
      <c r="B249" s="2">
        <f t="shared" si="1"/>
        <v>46079</v>
      </c>
      <c r="C249" s="1" t="s">
        <v>791</v>
      </c>
      <c r="D249" s="3" t="str">
        <f t="shared" si="2"/>
        <v>VINO</v>
      </c>
      <c r="E249" s="3" t="str">
        <f t="shared" si="3"/>
        <v>RAJASTHAN</v>
      </c>
      <c r="F249" s="3" t="str">
        <f t="shared" si="4"/>
        <v>JAIPUR</v>
      </c>
      <c r="G249" s="1" t="s">
        <v>792</v>
      </c>
      <c r="H249" s="3" t="str">
        <f t="shared" si="5"/>
        <v>BOOKS</v>
      </c>
      <c r="I249" s="3" t="str">
        <f t="shared" si="6"/>
        <v>LIFE OF PI</v>
      </c>
      <c r="J249" s="3">
        <f t="shared" si="7"/>
        <v>1</v>
      </c>
      <c r="K249" s="3">
        <f t="shared" si="8"/>
        <v>183</v>
      </c>
      <c r="L249" s="4">
        <f t="shared" si="9"/>
        <v>0.17</v>
      </c>
      <c r="M249" s="3">
        <f t="shared" si="10"/>
        <v>151.89</v>
      </c>
      <c r="N249" s="3">
        <f t="shared" si="11"/>
        <v>106</v>
      </c>
      <c r="O249" s="3">
        <f t="shared" si="12"/>
        <v>46</v>
      </c>
      <c r="P249" s="3" t="str">
        <f t="shared" si="13"/>
        <v>COD</v>
      </c>
      <c r="Q249" s="3" t="str">
        <f t="shared" si="14"/>
        <v>RETURNED</v>
      </c>
    </row>
    <row r="250">
      <c r="A250" s="1" t="s">
        <v>793</v>
      </c>
      <c r="B250" s="2">
        <f t="shared" si="1"/>
        <v>46178</v>
      </c>
      <c r="C250" s="1" t="s">
        <v>794</v>
      </c>
      <c r="D250" s="3" t="str">
        <f t="shared" si="2"/>
        <v>ABI</v>
      </c>
      <c r="E250" s="3" t="str">
        <f t="shared" si="3"/>
        <v>WEST BENGAL</v>
      </c>
      <c r="F250" s="3" t="str">
        <f t="shared" si="4"/>
        <v>KOLKATA</v>
      </c>
      <c r="G250" s="1" t="s">
        <v>795</v>
      </c>
      <c r="H250" s="3" t="str">
        <f t="shared" si="5"/>
        <v>ACCESSORIES</v>
      </c>
      <c r="I250" s="3" t="str">
        <f t="shared" si="6"/>
        <v>EARRINGS</v>
      </c>
      <c r="J250" s="3">
        <f t="shared" si="7"/>
        <v>3</v>
      </c>
      <c r="K250" s="3">
        <f t="shared" si="8"/>
        <v>289</v>
      </c>
      <c r="L250" s="4">
        <f t="shared" si="9"/>
        <v>0.2</v>
      </c>
      <c r="M250" s="3">
        <f t="shared" si="10"/>
        <v>693.6</v>
      </c>
      <c r="N250" s="3">
        <f t="shared" si="11"/>
        <v>486</v>
      </c>
      <c r="O250" s="3">
        <f t="shared" si="12"/>
        <v>208</v>
      </c>
      <c r="P250" s="3" t="str">
        <f t="shared" si="13"/>
        <v>NET BANKING</v>
      </c>
      <c r="Q250" s="3" t="str">
        <f t="shared" si="14"/>
        <v>DELIVERED</v>
      </c>
    </row>
    <row r="251">
      <c r="A251" s="1" t="s">
        <v>796</v>
      </c>
      <c r="B251" s="2">
        <f t="shared" si="1"/>
        <v>46218</v>
      </c>
      <c r="C251" s="1" t="s">
        <v>797</v>
      </c>
      <c r="D251" s="3" t="str">
        <f t="shared" si="2"/>
        <v>NIHAAR</v>
      </c>
      <c r="E251" s="3" t="str">
        <f t="shared" si="3"/>
        <v>MAGARASTRA</v>
      </c>
      <c r="F251" s="3" t="str">
        <f t="shared" si="4"/>
        <v>PUNE</v>
      </c>
      <c r="G251" s="1" t="s">
        <v>798</v>
      </c>
      <c r="H251" s="3" t="str">
        <f t="shared" si="5"/>
        <v>ELECTRONICS</v>
      </c>
      <c r="I251" s="3" t="str">
        <f t="shared" si="6"/>
        <v>WIRELESS EARBUDS</v>
      </c>
      <c r="J251" s="3">
        <f t="shared" si="7"/>
        <v>1</v>
      </c>
      <c r="K251" s="3">
        <f t="shared" si="8"/>
        <v>140</v>
      </c>
      <c r="L251" s="4">
        <f t="shared" si="9"/>
        <v>0</v>
      </c>
      <c r="M251" s="3">
        <f t="shared" si="10"/>
        <v>140</v>
      </c>
      <c r="N251" s="3">
        <f t="shared" si="11"/>
        <v>98</v>
      </c>
      <c r="O251" s="3">
        <f t="shared" si="12"/>
        <v>42</v>
      </c>
      <c r="P251" s="3" t="str">
        <f t="shared" si="13"/>
        <v>WALLET</v>
      </c>
      <c r="Q251" s="3" t="str">
        <f t="shared" si="14"/>
        <v>SHIPPED</v>
      </c>
    </row>
    <row r="252">
      <c r="A252" s="1" t="s">
        <v>799</v>
      </c>
      <c r="B252" s="2">
        <f t="shared" si="1"/>
        <v>46183</v>
      </c>
      <c r="C252" s="1" t="s">
        <v>800</v>
      </c>
      <c r="D252" s="3" t="str">
        <f t="shared" si="2"/>
        <v>SRI</v>
      </c>
      <c r="E252" s="3" t="str">
        <f t="shared" si="3"/>
        <v>TAMILNADU</v>
      </c>
      <c r="F252" s="3" t="str">
        <f t="shared" si="4"/>
        <v>THOOTHUKUDI</v>
      </c>
      <c r="G252" s="1" t="s">
        <v>801</v>
      </c>
      <c r="H252" s="3" t="str">
        <f t="shared" si="5"/>
        <v>SPORTS</v>
      </c>
      <c r="I252" s="3" t="str">
        <f t="shared" si="6"/>
        <v>FOOTBALL</v>
      </c>
      <c r="J252" s="3">
        <f t="shared" si="7"/>
        <v>1</v>
      </c>
      <c r="K252" s="3">
        <f t="shared" si="8"/>
        <v>151</v>
      </c>
      <c r="L252" s="4">
        <f t="shared" si="9"/>
        <v>0.2</v>
      </c>
      <c r="M252" s="3">
        <f t="shared" si="10"/>
        <v>120.8</v>
      </c>
      <c r="N252" s="3">
        <f t="shared" si="11"/>
        <v>85</v>
      </c>
      <c r="O252" s="3">
        <f t="shared" si="12"/>
        <v>36</v>
      </c>
      <c r="P252" s="3" t="str">
        <f t="shared" si="13"/>
        <v>UPI</v>
      </c>
      <c r="Q252" s="3" t="str">
        <f t="shared" si="14"/>
        <v>CANCELLED</v>
      </c>
    </row>
    <row r="253">
      <c r="A253" s="1" t="s">
        <v>802</v>
      </c>
      <c r="B253" s="2">
        <f t="shared" si="1"/>
        <v>46240</v>
      </c>
      <c r="C253" s="1" t="s">
        <v>803</v>
      </c>
      <c r="D253" s="3" t="str">
        <f t="shared" si="2"/>
        <v>SHOBN</v>
      </c>
      <c r="E253" s="3" t="str">
        <f t="shared" si="3"/>
        <v>KERALA</v>
      </c>
      <c r="F253" s="3" t="str">
        <f t="shared" si="4"/>
        <v>KOCHI</v>
      </c>
      <c r="G253" s="1" t="s">
        <v>804</v>
      </c>
      <c r="H253" s="3" t="str">
        <f t="shared" si="5"/>
        <v>FOOD</v>
      </c>
      <c r="I253" s="3" t="str">
        <f t="shared" si="6"/>
        <v>BIRIYANI</v>
      </c>
      <c r="J253" s="3">
        <f t="shared" si="7"/>
        <v>1</v>
      </c>
      <c r="K253" s="3">
        <f t="shared" si="8"/>
        <v>167</v>
      </c>
      <c r="L253" s="4">
        <f t="shared" si="9"/>
        <v>0.5</v>
      </c>
      <c r="M253" s="3">
        <f t="shared" si="10"/>
        <v>83.5</v>
      </c>
      <c r="N253" s="3">
        <f t="shared" si="11"/>
        <v>58</v>
      </c>
      <c r="O253" s="3">
        <f t="shared" si="12"/>
        <v>26</v>
      </c>
      <c r="P253" s="3" t="str">
        <f t="shared" si="13"/>
        <v>CARD</v>
      </c>
      <c r="Q253" s="3" t="str">
        <f t="shared" si="14"/>
        <v>RETURNED</v>
      </c>
    </row>
    <row r="254">
      <c r="A254" s="1" t="s">
        <v>805</v>
      </c>
      <c r="B254" s="2">
        <f t="shared" si="1"/>
        <v>46140</v>
      </c>
      <c r="C254" s="1" t="s">
        <v>806</v>
      </c>
      <c r="D254" s="3" t="str">
        <f t="shared" si="2"/>
        <v>SOBI</v>
      </c>
      <c r="E254" s="3" t="str">
        <f t="shared" si="3"/>
        <v>KARNATAKA</v>
      </c>
      <c r="F254" s="3" t="str">
        <f t="shared" si="4"/>
        <v>BANGALURU</v>
      </c>
      <c r="G254" s="1" t="s">
        <v>807</v>
      </c>
      <c r="H254" s="3" t="str">
        <f t="shared" si="5"/>
        <v>DRESS</v>
      </c>
      <c r="I254" s="3" t="str">
        <f t="shared" si="6"/>
        <v>WOMEN WAERS</v>
      </c>
      <c r="J254" s="3">
        <f t="shared" si="7"/>
        <v>3</v>
      </c>
      <c r="K254" s="3">
        <f t="shared" si="8"/>
        <v>231</v>
      </c>
      <c r="L254" s="4">
        <f t="shared" si="9"/>
        <v>0.1</v>
      </c>
      <c r="M254" s="3">
        <f t="shared" si="10"/>
        <v>623.7</v>
      </c>
      <c r="N254" s="3">
        <f t="shared" si="11"/>
        <v>437</v>
      </c>
      <c r="O254" s="3">
        <f t="shared" si="12"/>
        <v>187</v>
      </c>
      <c r="P254" s="3" t="str">
        <f t="shared" si="13"/>
        <v>COD</v>
      </c>
      <c r="Q254" s="3" t="str">
        <f t="shared" si="14"/>
        <v>DELIVERED</v>
      </c>
    </row>
    <row r="255">
      <c r="A255" s="1" t="s">
        <v>808</v>
      </c>
      <c r="B255" s="2">
        <f t="shared" si="1"/>
        <v>46088</v>
      </c>
      <c r="C255" s="1" t="s">
        <v>809</v>
      </c>
      <c r="D255" s="3" t="str">
        <f t="shared" si="2"/>
        <v>SUJI</v>
      </c>
      <c r="E255" s="3" t="str">
        <f t="shared" si="3"/>
        <v>ANDHRA PRADESH</v>
      </c>
      <c r="F255" s="3" t="str">
        <f t="shared" si="4"/>
        <v>TIRUPATI</v>
      </c>
      <c r="G255" s="1" t="s">
        <v>810</v>
      </c>
      <c r="H255" s="3" t="str">
        <f t="shared" si="5"/>
        <v>BEAUTY</v>
      </c>
      <c r="I255" s="3" t="str">
        <f t="shared" si="6"/>
        <v>KAJAL</v>
      </c>
      <c r="J255" s="3">
        <f t="shared" si="7"/>
        <v>1</v>
      </c>
      <c r="K255" s="3">
        <f t="shared" si="8"/>
        <v>364</v>
      </c>
      <c r="L255" s="4">
        <f t="shared" si="9"/>
        <v>0.15</v>
      </c>
      <c r="M255" s="3">
        <f t="shared" si="10"/>
        <v>309.4</v>
      </c>
      <c r="N255" s="3">
        <f t="shared" si="11"/>
        <v>217</v>
      </c>
      <c r="O255" s="3">
        <f t="shared" si="12"/>
        <v>92</v>
      </c>
      <c r="P255" s="3" t="str">
        <f t="shared" si="13"/>
        <v>NET BANKING</v>
      </c>
      <c r="Q255" s="3" t="str">
        <f t="shared" si="14"/>
        <v>SHIPPED</v>
      </c>
    </row>
    <row r="256">
      <c r="A256" s="1" t="s">
        <v>811</v>
      </c>
      <c r="B256" s="2">
        <f t="shared" si="1"/>
        <v>46356</v>
      </c>
      <c r="C256" s="1" t="s">
        <v>812</v>
      </c>
      <c r="D256" s="3" t="str">
        <f t="shared" si="2"/>
        <v>RATHA</v>
      </c>
      <c r="E256" s="3" t="str">
        <f t="shared" si="3"/>
        <v>TELUGANA</v>
      </c>
      <c r="F256" s="3" t="str">
        <f t="shared" si="4"/>
        <v>HYDERABAD</v>
      </c>
      <c r="G256" s="1" t="s">
        <v>813</v>
      </c>
      <c r="H256" s="3" t="str">
        <f t="shared" si="5"/>
        <v>HOME &amp; KITCHEN</v>
      </c>
      <c r="I256" s="3" t="str">
        <f t="shared" si="6"/>
        <v>MIXER GRAINDER</v>
      </c>
      <c r="J256" s="3">
        <f t="shared" si="7"/>
        <v>2</v>
      </c>
      <c r="K256" s="3">
        <f t="shared" si="8"/>
        <v>302</v>
      </c>
      <c r="L256" s="4">
        <f t="shared" si="9"/>
        <v>0.17</v>
      </c>
      <c r="M256" s="3">
        <f t="shared" si="10"/>
        <v>501.32</v>
      </c>
      <c r="N256" s="3">
        <f t="shared" si="11"/>
        <v>351</v>
      </c>
      <c r="O256" s="3">
        <f t="shared" si="12"/>
        <v>150</v>
      </c>
      <c r="P256" s="3" t="str">
        <f t="shared" si="13"/>
        <v>WALLET</v>
      </c>
      <c r="Q256" s="3" t="str">
        <f t="shared" si="14"/>
        <v>CANCELLED</v>
      </c>
    </row>
    <row r="257">
      <c r="A257" s="1" t="s">
        <v>814</v>
      </c>
      <c r="B257" s="2">
        <f t="shared" si="1"/>
        <v>46037</v>
      </c>
      <c r="C257" s="1" t="s">
        <v>815</v>
      </c>
      <c r="D257" s="3" t="str">
        <f t="shared" si="2"/>
        <v>SUSA</v>
      </c>
      <c r="E257" s="3" t="str">
        <f t="shared" si="3"/>
        <v>UTTHRA PRADESH</v>
      </c>
      <c r="F257" s="3" t="str">
        <f t="shared" si="4"/>
        <v>LUCKNOW</v>
      </c>
      <c r="G257" s="1" t="s">
        <v>816</v>
      </c>
      <c r="H257" s="3" t="str">
        <f t="shared" si="5"/>
        <v>BOOKS</v>
      </c>
      <c r="I257" s="3" t="str">
        <f t="shared" si="6"/>
        <v>LIFE OF PI</v>
      </c>
      <c r="J257" s="3">
        <f t="shared" si="7"/>
        <v>5</v>
      </c>
      <c r="K257" s="3">
        <f t="shared" si="8"/>
        <v>179</v>
      </c>
      <c r="L257" s="4">
        <f t="shared" si="9"/>
        <v>0.1</v>
      </c>
      <c r="M257" s="3">
        <f t="shared" si="10"/>
        <v>805.5</v>
      </c>
      <c r="N257" s="3">
        <f t="shared" si="11"/>
        <v>564</v>
      </c>
      <c r="O257" s="3">
        <f t="shared" si="12"/>
        <v>242</v>
      </c>
      <c r="P257" s="3" t="str">
        <f t="shared" si="13"/>
        <v>UPI</v>
      </c>
      <c r="Q257" s="3" t="str">
        <f t="shared" si="14"/>
        <v>RETURNED</v>
      </c>
    </row>
    <row r="258">
      <c r="A258" s="1" t="s">
        <v>817</v>
      </c>
      <c r="B258" s="2">
        <f t="shared" si="1"/>
        <v>46199</v>
      </c>
      <c r="C258" s="1" t="s">
        <v>818</v>
      </c>
      <c r="D258" s="3" t="str">
        <f t="shared" si="2"/>
        <v>NIVE</v>
      </c>
      <c r="E258" s="3" t="str">
        <f t="shared" si="3"/>
        <v>GUJARAT</v>
      </c>
      <c r="F258" s="3" t="str">
        <f t="shared" si="4"/>
        <v>SURAT</v>
      </c>
      <c r="G258" s="1" t="s">
        <v>819</v>
      </c>
      <c r="H258" s="3" t="str">
        <f t="shared" si="5"/>
        <v>ACCESSORIES</v>
      </c>
      <c r="I258" s="3" t="str">
        <f t="shared" si="6"/>
        <v>EARRINGS</v>
      </c>
      <c r="J258" s="3">
        <f t="shared" si="7"/>
        <v>5</v>
      </c>
      <c r="K258" s="3">
        <f t="shared" si="8"/>
        <v>117</v>
      </c>
      <c r="L258" s="4">
        <f t="shared" si="9"/>
        <v>0.15</v>
      </c>
      <c r="M258" s="3">
        <f t="shared" si="10"/>
        <v>497.25</v>
      </c>
      <c r="N258" s="3">
        <f t="shared" si="11"/>
        <v>348</v>
      </c>
      <c r="O258" s="3">
        <f t="shared" si="12"/>
        <v>149</v>
      </c>
      <c r="P258" s="3" t="str">
        <f t="shared" si="13"/>
        <v>CARD</v>
      </c>
      <c r="Q258" s="3" t="str">
        <f t="shared" si="14"/>
        <v>DELIVERED</v>
      </c>
    </row>
    <row r="259">
      <c r="A259" s="1" t="s">
        <v>820</v>
      </c>
      <c r="B259" s="2">
        <f t="shared" si="1"/>
        <v>46155</v>
      </c>
      <c r="C259" s="1" t="s">
        <v>821</v>
      </c>
      <c r="D259" s="3" t="str">
        <f t="shared" si="2"/>
        <v>VINO</v>
      </c>
      <c r="E259" s="3" t="str">
        <f t="shared" si="3"/>
        <v>RAJASTHAN</v>
      </c>
      <c r="F259" s="3" t="str">
        <f t="shared" si="4"/>
        <v>JAIPUR</v>
      </c>
      <c r="G259" s="1" t="s">
        <v>822</v>
      </c>
      <c r="H259" s="3" t="str">
        <f t="shared" si="5"/>
        <v>ELECTRONICS</v>
      </c>
      <c r="I259" s="3" t="str">
        <f t="shared" si="6"/>
        <v>WIRELESS EARBUDS</v>
      </c>
      <c r="J259" s="3">
        <f t="shared" si="7"/>
        <v>4</v>
      </c>
      <c r="K259" s="3">
        <f t="shared" si="8"/>
        <v>294</v>
      </c>
      <c r="L259" s="4">
        <f t="shared" si="9"/>
        <v>0</v>
      </c>
      <c r="M259" s="3">
        <f t="shared" si="10"/>
        <v>1176</v>
      </c>
      <c r="N259" s="3">
        <f t="shared" si="11"/>
        <v>823</v>
      </c>
      <c r="O259" s="3">
        <f t="shared" si="12"/>
        <v>353</v>
      </c>
      <c r="P259" s="3" t="str">
        <f t="shared" si="13"/>
        <v>COD</v>
      </c>
      <c r="Q259" s="3" t="str">
        <f t="shared" si="14"/>
        <v>SHIPPED</v>
      </c>
    </row>
    <row r="260">
      <c r="A260" s="1" t="s">
        <v>823</v>
      </c>
      <c r="B260" s="2">
        <f t="shared" si="1"/>
        <v>46226</v>
      </c>
      <c r="C260" s="1" t="s">
        <v>824</v>
      </c>
      <c r="D260" s="3" t="str">
        <f t="shared" si="2"/>
        <v>ABI</v>
      </c>
      <c r="E260" s="3" t="str">
        <f t="shared" si="3"/>
        <v>WEST BENGAL</v>
      </c>
      <c r="F260" s="3" t="str">
        <f t="shared" si="4"/>
        <v>KOLKATA</v>
      </c>
      <c r="G260" s="1" t="s">
        <v>825</v>
      </c>
      <c r="H260" s="3" t="str">
        <f t="shared" si="5"/>
        <v>SPORTS</v>
      </c>
      <c r="I260" s="3" t="str">
        <f t="shared" si="6"/>
        <v>FOOTBALL</v>
      </c>
      <c r="J260" s="3">
        <f t="shared" si="7"/>
        <v>3</v>
      </c>
      <c r="K260" s="3">
        <f t="shared" si="8"/>
        <v>514</v>
      </c>
      <c r="L260" s="4">
        <f t="shared" si="9"/>
        <v>0.15</v>
      </c>
      <c r="M260" s="3">
        <f t="shared" si="10"/>
        <v>1310.7</v>
      </c>
      <c r="N260" s="3">
        <f t="shared" si="11"/>
        <v>917</v>
      </c>
      <c r="O260" s="3">
        <f t="shared" si="12"/>
        <v>394</v>
      </c>
      <c r="P260" s="3" t="str">
        <f t="shared" si="13"/>
        <v>NET BANKING</v>
      </c>
      <c r="Q260" s="3" t="str">
        <f t="shared" si="14"/>
        <v>CANCELLED</v>
      </c>
    </row>
    <row r="261">
      <c r="A261" s="1" t="s">
        <v>826</v>
      </c>
      <c r="B261" s="2">
        <f t="shared" si="1"/>
        <v>46078</v>
      </c>
      <c r="C261" s="1" t="s">
        <v>827</v>
      </c>
      <c r="D261" s="3" t="str">
        <f t="shared" si="2"/>
        <v>NIHAAR</v>
      </c>
      <c r="E261" s="3" t="str">
        <f t="shared" si="3"/>
        <v>MAGARASTRA</v>
      </c>
      <c r="F261" s="3" t="str">
        <f t="shared" si="4"/>
        <v>PUNE</v>
      </c>
      <c r="G261" s="1" t="s">
        <v>828</v>
      </c>
      <c r="H261" s="3" t="str">
        <f t="shared" si="5"/>
        <v>FOOD</v>
      </c>
      <c r="I261" s="3" t="str">
        <f t="shared" si="6"/>
        <v>BIRIYANI</v>
      </c>
      <c r="J261" s="3">
        <f t="shared" si="7"/>
        <v>5</v>
      </c>
      <c r="K261" s="3">
        <f t="shared" si="8"/>
        <v>493</v>
      </c>
      <c r="L261" s="4">
        <f t="shared" si="9"/>
        <v>0.1</v>
      </c>
      <c r="M261" s="3">
        <f t="shared" si="10"/>
        <v>2218.5</v>
      </c>
      <c r="N261" s="3">
        <f t="shared" si="11"/>
        <v>1553</v>
      </c>
      <c r="O261" s="3">
        <f t="shared" si="12"/>
        <v>666</v>
      </c>
      <c r="P261" s="3" t="str">
        <f t="shared" si="13"/>
        <v>WALLET</v>
      </c>
      <c r="Q261" s="3" t="str">
        <f t="shared" si="14"/>
        <v>RETURNED</v>
      </c>
    </row>
    <row r="262">
      <c r="A262" s="1" t="s">
        <v>829</v>
      </c>
      <c r="B262" s="2">
        <f t="shared" si="1"/>
        <v>46336</v>
      </c>
      <c r="C262" s="1" t="s">
        <v>830</v>
      </c>
      <c r="D262" s="3" t="str">
        <f t="shared" si="2"/>
        <v>SRI</v>
      </c>
      <c r="E262" s="3" t="str">
        <f t="shared" si="3"/>
        <v>TAMILNADU</v>
      </c>
      <c r="F262" s="3" t="str">
        <f t="shared" si="4"/>
        <v>THOOTHUKUDI</v>
      </c>
      <c r="G262" s="1" t="s">
        <v>831</v>
      </c>
      <c r="H262" s="3" t="str">
        <f t="shared" si="5"/>
        <v>DRESS</v>
      </c>
      <c r="I262" s="3" t="str">
        <f t="shared" si="6"/>
        <v>WOMEN WAERS</v>
      </c>
      <c r="J262" s="3">
        <f t="shared" si="7"/>
        <v>5</v>
      </c>
      <c r="K262" s="3">
        <f t="shared" si="8"/>
        <v>149</v>
      </c>
      <c r="L262" s="4">
        <f t="shared" si="9"/>
        <v>0</v>
      </c>
      <c r="M262" s="3">
        <f t="shared" si="10"/>
        <v>745</v>
      </c>
      <c r="N262" s="3">
        <f t="shared" si="11"/>
        <v>522</v>
      </c>
      <c r="O262" s="3">
        <f t="shared" si="12"/>
        <v>223</v>
      </c>
      <c r="P262" s="3" t="str">
        <f t="shared" si="13"/>
        <v>UPI</v>
      </c>
      <c r="Q262" s="3" t="str">
        <f t="shared" si="14"/>
        <v>DELIVERED</v>
      </c>
    </row>
    <row r="263">
      <c r="A263" s="1" t="s">
        <v>832</v>
      </c>
      <c r="B263" s="2">
        <f t="shared" si="1"/>
        <v>46114</v>
      </c>
      <c r="C263" s="1" t="s">
        <v>833</v>
      </c>
      <c r="D263" s="3" t="str">
        <f t="shared" si="2"/>
        <v>SHOBN</v>
      </c>
      <c r="E263" s="3" t="str">
        <f t="shared" si="3"/>
        <v>KERALA</v>
      </c>
      <c r="F263" s="3" t="str">
        <f t="shared" si="4"/>
        <v>KOCHI</v>
      </c>
      <c r="G263" s="1" t="s">
        <v>834</v>
      </c>
      <c r="H263" s="3" t="str">
        <f t="shared" si="5"/>
        <v>BEAUTY</v>
      </c>
      <c r="I263" s="3" t="str">
        <f t="shared" si="6"/>
        <v>KAJAL</v>
      </c>
      <c r="J263" s="3">
        <f t="shared" si="7"/>
        <v>5</v>
      </c>
      <c r="K263" s="3">
        <f t="shared" si="8"/>
        <v>596</v>
      </c>
      <c r="L263" s="4">
        <f t="shared" si="9"/>
        <v>0.15</v>
      </c>
      <c r="M263" s="3">
        <f t="shared" si="10"/>
        <v>2533</v>
      </c>
      <c r="N263" s="3">
        <f t="shared" si="11"/>
        <v>1773</v>
      </c>
      <c r="O263" s="3">
        <f t="shared" si="12"/>
        <v>760</v>
      </c>
      <c r="P263" s="3" t="str">
        <f t="shared" si="13"/>
        <v>CARD</v>
      </c>
      <c r="Q263" s="3" t="str">
        <f t="shared" si="14"/>
        <v>SHIPPED</v>
      </c>
    </row>
    <row r="264">
      <c r="A264" s="1" t="s">
        <v>835</v>
      </c>
      <c r="B264" s="2">
        <f t="shared" si="1"/>
        <v>46038</v>
      </c>
      <c r="C264" s="1" t="s">
        <v>836</v>
      </c>
      <c r="D264" s="3" t="str">
        <f t="shared" si="2"/>
        <v>SOBI</v>
      </c>
      <c r="E264" s="3" t="str">
        <f t="shared" si="3"/>
        <v>KARNATAKA</v>
      </c>
      <c r="F264" s="3" t="str">
        <f t="shared" si="4"/>
        <v>BANGALURU</v>
      </c>
      <c r="G264" s="1" t="s">
        <v>837</v>
      </c>
      <c r="H264" s="3" t="str">
        <f t="shared" si="5"/>
        <v>HOME &amp; KITCHEN</v>
      </c>
      <c r="I264" s="3" t="str">
        <f t="shared" si="6"/>
        <v>MIXER GRAINDER</v>
      </c>
      <c r="J264" s="3">
        <f t="shared" si="7"/>
        <v>1</v>
      </c>
      <c r="K264" s="3">
        <f t="shared" si="8"/>
        <v>438</v>
      </c>
      <c r="L264" s="4">
        <f t="shared" si="9"/>
        <v>0.5</v>
      </c>
      <c r="M264" s="3">
        <f t="shared" si="10"/>
        <v>219</v>
      </c>
      <c r="N264" s="3">
        <f t="shared" si="11"/>
        <v>153</v>
      </c>
      <c r="O264" s="3">
        <f t="shared" si="12"/>
        <v>66</v>
      </c>
      <c r="P264" s="3" t="str">
        <f t="shared" si="13"/>
        <v>COD</v>
      </c>
      <c r="Q264" s="3" t="str">
        <f t="shared" si="14"/>
        <v>CANCELLED</v>
      </c>
    </row>
    <row r="265">
      <c r="A265" s="1" t="s">
        <v>838</v>
      </c>
      <c r="B265" s="2">
        <f t="shared" si="1"/>
        <v>46137</v>
      </c>
      <c r="C265" s="1" t="s">
        <v>839</v>
      </c>
      <c r="D265" s="3" t="str">
        <f t="shared" si="2"/>
        <v>SUJI</v>
      </c>
      <c r="E265" s="3" t="str">
        <f t="shared" si="3"/>
        <v>ANDHRA PRADESH</v>
      </c>
      <c r="F265" s="3" t="str">
        <f t="shared" si="4"/>
        <v>TIRUPATI</v>
      </c>
      <c r="G265" s="1" t="s">
        <v>840</v>
      </c>
      <c r="H265" s="3" t="str">
        <f t="shared" si="5"/>
        <v>BOOKS</v>
      </c>
      <c r="I265" s="3" t="str">
        <f t="shared" si="6"/>
        <v>LIFE OF PI</v>
      </c>
      <c r="J265" s="3">
        <f t="shared" si="7"/>
        <v>2</v>
      </c>
      <c r="K265" s="3">
        <f t="shared" si="8"/>
        <v>555</v>
      </c>
      <c r="L265" s="4">
        <f t="shared" si="9"/>
        <v>0</v>
      </c>
      <c r="M265" s="3">
        <f t="shared" si="10"/>
        <v>1110</v>
      </c>
      <c r="N265" s="3">
        <f t="shared" si="11"/>
        <v>777</v>
      </c>
      <c r="O265" s="3">
        <f t="shared" si="12"/>
        <v>333</v>
      </c>
      <c r="P265" s="3" t="str">
        <f t="shared" si="13"/>
        <v>NET BANKING</v>
      </c>
      <c r="Q265" s="3" t="str">
        <f t="shared" si="14"/>
        <v>RETURNED</v>
      </c>
    </row>
    <row r="266">
      <c r="A266" s="1" t="s">
        <v>841</v>
      </c>
      <c r="B266" s="2">
        <f t="shared" si="1"/>
        <v>46035</v>
      </c>
      <c r="C266" s="1" t="s">
        <v>842</v>
      </c>
      <c r="D266" s="3" t="str">
        <f t="shared" si="2"/>
        <v>RATHA</v>
      </c>
      <c r="E266" s="3" t="str">
        <f t="shared" si="3"/>
        <v>TELUGANA</v>
      </c>
      <c r="F266" s="3" t="str">
        <f t="shared" si="4"/>
        <v>HYDERABAD</v>
      </c>
      <c r="G266" s="1" t="s">
        <v>843</v>
      </c>
      <c r="H266" s="3" t="str">
        <f t="shared" si="5"/>
        <v>ACCESSORIES</v>
      </c>
      <c r="I266" s="3" t="str">
        <f t="shared" si="6"/>
        <v>EARRINGS</v>
      </c>
      <c r="J266" s="3">
        <f t="shared" si="7"/>
        <v>1</v>
      </c>
      <c r="K266" s="3">
        <f t="shared" si="8"/>
        <v>566</v>
      </c>
      <c r="L266" s="4">
        <f t="shared" si="9"/>
        <v>0.15</v>
      </c>
      <c r="M266" s="3">
        <f t="shared" si="10"/>
        <v>481.1</v>
      </c>
      <c r="N266" s="3">
        <f t="shared" si="11"/>
        <v>337</v>
      </c>
      <c r="O266" s="3">
        <f t="shared" si="12"/>
        <v>144</v>
      </c>
      <c r="P266" s="3" t="str">
        <f t="shared" si="13"/>
        <v>WALLET</v>
      </c>
      <c r="Q266" s="3" t="str">
        <f t="shared" si="14"/>
        <v>DELIVERED</v>
      </c>
    </row>
    <row r="267">
      <c r="A267" s="1" t="s">
        <v>844</v>
      </c>
      <c r="B267" s="2">
        <f t="shared" si="1"/>
        <v>46036</v>
      </c>
      <c r="C267" s="1" t="s">
        <v>845</v>
      </c>
      <c r="D267" s="3" t="str">
        <f t="shared" si="2"/>
        <v>SUSA</v>
      </c>
      <c r="E267" s="3" t="str">
        <f t="shared" si="3"/>
        <v>UTTHRA PRADESH</v>
      </c>
      <c r="F267" s="3" t="str">
        <f t="shared" si="4"/>
        <v>LUCKNOW</v>
      </c>
      <c r="G267" s="1" t="s">
        <v>846</v>
      </c>
      <c r="H267" s="3" t="str">
        <f t="shared" si="5"/>
        <v>ELECTRONICS</v>
      </c>
      <c r="I267" s="3" t="str">
        <f t="shared" si="6"/>
        <v>WIRELESS EARBUDS</v>
      </c>
      <c r="J267" s="3">
        <f t="shared" si="7"/>
        <v>1</v>
      </c>
      <c r="K267" s="3">
        <f t="shared" si="8"/>
        <v>284</v>
      </c>
      <c r="L267" s="4">
        <f t="shared" si="9"/>
        <v>0.17</v>
      </c>
      <c r="M267" s="3">
        <f t="shared" si="10"/>
        <v>235.72</v>
      </c>
      <c r="N267" s="3">
        <f t="shared" si="11"/>
        <v>165</v>
      </c>
      <c r="O267" s="3">
        <f t="shared" si="12"/>
        <v>71</v>
      </c>
      <c r="P267" s="3" t="str">
        <f t="shared" si="13"/>
        <v>UPI</v>
      </c>
      <c r="Q267" s="3" t="str">
        <f t="shared" si="14"/>
        <v>SHIPPED</v>
      </c>
    </row>
    <row r="268">
      <c r="A268" s="1" t="s">
        <v>847</v>
      </c>
      <c r="B268" s="2">
        <f t="shared" si="1"/>
        <v>46323</v>
      </c>
      <c r="C268" s="1" t="s">
        <v>848</v>
      </c>
      <c r="D268" s="3" t="str">
        <f t="shared" si="2"/>
        <v>NIVE</v>
      </c>
      <c r="E268" s="3" t="str">
        <f t="shared" si="3"/>
        <v>GUJARAT</v>
      </c>
      <c r="F268" s="3" t="str">
        <f t="shared" si="4"/>
        <v>SURAT</v>
      </c>
      <c r="G268" s="1" t="s">
        <v>849</v>
      </c>
      <c r="H268" s="3" t="str">
        <f t="shared" si="5"/>
        <v>SPORTS</v>
      </c>
      <c r="I268" s="3" t="str">
        <f t="shared" si="6"/>
        <v>FOOTBALL</v>
      </c>
      <c r="J268" s="3">
        <f t="shared" si="7"/>
        <v>4</v>
      </c>
      <c r="K268" s="3">
        <f t="shared" si="8"/>
        <v>385</v>
      </c>
      <c r="L268" s="4">
        <f t="shared" si="9"/>
        <v>0.1</v>
      </c>
      <c r="M268" s="3">
        <f t="shared" si="10"/>
        <v>1386</v>
      </c>
      <c r="N268" s="3">
        <f t="shared" si="11"/>
        <v>970</v>
      </c>
      <c r="O268" s="3">
        <f t="shared" si="12"/>
        <v>416</v>
      </c>
      <c r="P268" s="3" t="str">
        <f t="shared" si="13"/>
        <v>CARD</v>
      </c>
      <c r="Q268" s="3" t="str">
        <f t="shared" si="14"/>
        <v>CANCELLED</v>
      </c>
    </row>
    <row r="269">
      <c r="A269" s="1" t="s">
        <v>850</v>
      </c>
      <c r="B269" s="2">
        <f t="shared" si="1"/>
        <v>46026</v>
      </c>
      <c r="C269" s="1" t="s">
        <v>851</v>
      </c>
      <c r="D269" s="3" t="str">
        <f t="shared" si="2"/>
        <v>VINO</v>
      </c>
      <c r="E269" s="3" t="str">
        <f t="shared" si="3"/>
        <v>RAJASTHAN</v>
      </c>
      <c r="F269" s="3" t="str">
        <f t="shared" si="4"/>
        <v>JAIPUR</v>
      </c>
      <c r="G269" s="1" t="s">
        <v>852</v>
      </c>
      <c r="H269" s="3" t="str">
        <f t="shared" si="5"/>
        <v>FOOD</v>
      </c>
      <c r="I269" s="3" t="str">
        <f t="shared" si="6"/>
        <v>BIRIYANI</v>
      </c>
      <c r="J269" s="3">
        <f t="shared" si="7"/>
        <v>5</v>
      </c>
      <c r="K269" s="3">
        <f t="shared" si="8"/>
        <v>371</v>
      </c>
      <c r="L269" s="4">
        <f t="shared" si="9"/>
        <v>0.15</v>
      </c>
      <c r="M269" s="3">
        <f t="shared" si="10"/>
        <v>1576.75</v>
      </c>
      <c r="N269" s="3">
        <f t="shared" si="11"/>
        <v>1104</v>
      </c>
      <c r="O269" s="3">
        <f t="shared" si="12"/>
        <v>473</v>
      </c>
      <c r="P269" s="3" t="str">
        <f t="shared" si="13"/>
        <v>COD</v>
      </c>
      <c r="Q269" s="3" t="str">
        <f t="shared" si="14"/>
        <v>RETURNED</v>
      </c>
    </row>
    <row r="270">
      <c r="A270" s="1" t="s">
        <v>853</v>
      </c>
      <c r="B270" s="2">
        <f t="shared" si="1"/>
        <v>46069</v>
      </c>
      <c r="C270" s="1" t="s">
        <v>854</v>
      </c>
      <c r="D270" s="3" t="str">
        <f t="shared" si="2"/>
        <v>ABI</v>
      </c>
      <c r="E270" s="3" t="str">
        <f t="shared" si="3"/>
        <v>WEST BENGAL</v>
      </c>
      <c r="F270" s="3" t="str">
        <f t="shared" si="4"/>
        <v>KOLKATA</v>
      </c>
      <c r="G270" s="1" t="s">
        <v>855</v>
      </c>
      <c r="H270" s="3" t="str">
        <f t="shared" si="5"/>
        <v>DRESS</v>
      </c>
      <c r="I270" s="3" t="str">
        <f t="shared" si="6"/>
        <v>WOMEN WAERS</v>
      </c>
      <c r="J270" s="3">
        <f t="shared" si="7"/>
        <v>2</v>
      </c>
      <c r="K270" s="3">
        <f t="shared" si="8"/>
        <v>379</v>
      </c>
      <c r="L270" s="4">
        <f t="shared" si="9"/>
        <v>0.2</v>
      </c>
      <c r="M270" s="3">
        <f t="shared" si="10"/>
        <v>606.4</v>
      </c>
      <c r="N270" s="3">
        <f t="shared" si="11"/>
        <v>424</v>
      </c>
      <c r="O270" s="3">
        <f t="shared" si="12"/>
        <v>182</v>
      </c>
      <c r="P270" s="3" t="str">
        <f t="shared" si="13"/>
        <v>NET BANKING</v>
      </c>
      <c r="Q270" s="3" t="str">
        <f t="shared" si="14"/>
        <v>DELIVERED</v>
      </c>
    </row>
    <row r="271">
      <c r="A271" s="1" t="s">
        <v>856</v>
      </c>
      <c r="B271" s="2">
        <f t="shared" si="1"/>
        <v>46046</v>
      </c>
      <c r="C271" s="1" t="s">
        <v>857</v>
      </c>
      <c r="D271" s="3" t="str">
        <f t="shared" si="2"/>
        <v>NIHAAR</v>
      </c>
      <c r="E271" s="3" t="str">
        <f t="shared" si="3"/>
        <v>MAGARASTRA</v>
      </c>
      <c r="F271" s="3" t="str">
        <f t="shared" si="4"/>
        <v>PUNE</v>
      </c>
      <c r="G271" s="1" t="s">
        <v>858</v>
      </c>
      <c r="H271" s="3" t="str">
        <f t="shared" si="5"/>
        <v>BEAUTY</v>
      </c>
      <c r="I271" s="3" t="str">
        <f t="shared" si="6"/>
        <v>KAJAL</v>
      </c>
      <c r="J271" s="3">
        <f t="shared" si="7"/>
        <v>2</v>
      </c>
      <c r="K271" s="3">
        <f t="shared" si="8"/>
        <v>322</v>
      </c>
      <c r="L271" s="4">
        <f t="shared" si="9"/>
        <v>0.17</v>
      </c>
      <c r="M271" s="3">
        <f t="shared" si="10"/>
        <v>534.52</v>
      </c>
      <c r="N271" s="3">
        <f t="shared" si="11"/>
        <v>374</v>
      </c>
      <c r="O271" s="3">
        <f t="shared" si="12"/>
        <v>161</v>
      </c>
      <c r="P271" s="3" t="str">
        <f t="shared" si="13"/>
        <v>WALLET</v>
      </c>
      <c r="Q271" s="3" t="str">
        <f t="shared" si="14"/>
        <v>SHIPPED</v>
      </c>
    </row>
    <row r="272">
      <c r="A272" s="1" t="s">
        <v>859</v>
      </c>
      <c r="B272" s="2">
        <f t="shared" si="1"/>
        <v>46223</v>
      </c>
      <c r="C272" s="1" t="s">
        <v>860</v>
      </c>
      <c r="D272" s="3" t="str">
        <f t="shared" si="2"/>
        <v>SRI</v>
      </c>
      <c r="E272" s="3" t="str">
        <f t="shared" si="3"/>
        <v>TAMILNADU</v>
      </c>
      <c r="F272" s="3" t="str">
        <f t="shared" si="4"/>
        <v>THOOTHUKUDI</v>
      </c>
      <c r="G272" s="1" t="s">
        <v>861</v>
      </c>
      <c r="H272" s="3" t="str">
        <f t="shared" si="5"/>
        <v>HOME &amp; KITCHEN</v>
      </c>
      <c r="I272" s="3" t="str">
        <f t="shared" si="6"/>
        <v>MIXER GRAINDER</v>
      </c>
      <c r="J272" s="3">
        <f t="shared" si="7"/>
        <v>4</v>
      </c>
      <c r="K272" s="3">
        <f t="shared" si="8"/>
        <v>364</v>
      </c>
      <c r="L272" s="4">
        <f t="shared" si="9"/>
        <v>0.15</v>
      </c>
      <c r="M272" s="3">
        <f t="shared" si="10"/>
        <v>1237.6</v>
      </c>
      <c r="N272" s="3">
        <f t="shared" si="11"/>
        <v>866</v>
      </c>
      <c r="O272" s="3">
        <f t="shared" si="12"/>
        <v>372</v>
      </c>
      <c r="P272" s="3" t="str">
        <f t="shared" si="13"/>
        <v>UPI</v>
      </c>
      <c r="Q272" s="3" t="str">
        <f t="shared" si="14"/>
        <v>CANCELLED</v>
      </c>
    </row>
    <row r="273">
      <c r="A273" s="1" t="s">
        <v>862</v>
      </c>
      <c r="B273" s="2">
        <f t="shared" si="1"/>
        <v>46367</v>
      </c>
      <c r="C273" s="1" t="s">
        <v>863</v>
      </c>
      <c r="D273" s="3" t="str">
        <f t="shared" si="2"/>
        <v>SHOBN</v>
      </c>
      <c r="E273" s="3" t="str">
        <f t="shared" si="3"/>
        <v>KERALA</v>
      </c>
      <c r="F273" s="3" t="str">
        <f t="shared" si="4"/>
        <v>KOCHI</v>
      </c>
      <c r="G273" s="1" t="s">
        <v>864</v>
      </c>
      <c r="H273" s="3" t="str">
        <f t="shared" si="5"/>
        <v>BOOKS</v>
      </c>
      <c r="I273" s="3" t="str">
        <f t="shared" si="6"/>
        <v>LIFE OF PI</v>
      </c>
      <c r="J273" s="3">
        <f t="shared" si="7"/>
        <v>5</v>
      </c>
      <c r="K273" s="3">
        <f t="shared" si="8"/>
        <v>271</v>
      </c>
      <c r="L273" s="4">
        <f t="shared" si="9"/>
        <v>0.2</v>
      </c>
      <c r="M273" s="3">
        <f t="shared" si="10"/>
        <v>1084</v>
      </c>
      <c r="N273" s="3">
        <f t="shared" si="11"/>
        <v>759</v>
      </c>
      <c r="O273" s="3">
        <f t="shared" si="12"/>
        <v>325</v>
      </c>
      <c r="P273" s="3" t="str">
        <f t="shared" si="13"/>
        <v>CARD</v>
      </c>
      <c r="Q273" s="3" t="str">
        <f t="shared" si="14"/>
        <v>RETURNED</v>
      </c>
    </row>
    <row r="274">
      <c r="A274" s="1" t="s">
        <v>865</v>
      </c>
      <c r="B274" s="2">
        <f t="shared" si="1"/>
        <v>46180</v>
      </c>
      <c r="C274" s="1" t="s">
        <v>866</v>
      </c>
      <c r="D274" s="3" t="str">
        <f t="shared" si="2"/>
        <v>SOBI</v>
      </c>
      <c r="E274" s="3" t="str">
        <f t="shared" si="3"/>
        <v>KARNATAKA</v>
      </c>
      <c r="F274" s="3" t="str">
        <f t="shared" si="4"/>
        <v>BANGALURU</v>
      </c>
      <c r="G274" s="1" t="s">
        <v>867</v>
      </c>
      <c r="H274" s="3" t="str">
        <f t="shared" si="5"/>
        <v>ACCESSORIES</v>
      </c>
      <c r="I274" s="3" t="str">
        <f t="shared" si="6"/>
        <v>EARRINGS</v>
      </c>
      <c r="J274" s="3">
        <f t="shared" si="7"/>
        <v>1</v>
      </c>
      <c r="K274" s="3">
        <f t="shared" si="8"/>
        <v>571</v>
      </c>
      <c r="L274" s="4">
        <f t="shared" si="9"/>
        <v>0.5</v>
      </c>
      <c r="M274" s="3">
        <f t="shared" si="10"/>
        <v>285.5</v>
      </c>
      <c r="N274" s="3">
        <f t="shared" si="11"/>
        <v>200</v>
      </c>
      <c r="O274" s="3">
        <f t="shared" si="12"/>
        <v>86</v>
      </c>
      <c r="P274" s="3" t="str">
        <f t="shared" si="13"/>
        <v>COD</v>
      </c>
      <c r="Q274" s="3" t="str">
        <f t="shared" si="14"/>
        <v>DELIVERED</v>
      </c>
    </row>
    <row r="275">
      <c r="A275" s="1" t="s">
        <v>868</v>
      </c>
      <c r="B275" s="2">
        <f t="shared" si="1"/>
        <v>46056</v>
      </c>
      <c r="C275" s="1" t="s">
        <v>869</v>
      </c>
      <c r="D275" s="3" t="str">
        <f t="shared" si="2"/>
        <v>SUJI</v>
      </c>
      <c r="E275" s="3" t="str">
        <f t="shared" si="3"/>
        <v>ANDHRA PRADESH</v>
      </c>
      <c r="F275" s="3" t="str">
        <f t="shared" si="4"/>
        <v>TIRUPATI</v>
      </c>
      <c r="G275" s="1" t="s">
        <v>870</v>
      </c>
      <c r="H275" s="3" t="str">
        <f t="shared" si="5"/>
        <v>ELECTRONICS</v>
      </c>
      <c r="I275" s="3" t="str">
        <f t="shared" si="6"/>
        <v>WIRELESS EARBUDS</v>
      </c>
      <c r="J275" s="3">
        <f t="shared" si="7"/>
        <v>5</v>
      </c>
      <c r="K275" s="3">
        <f t="shared" si="8"/>
        <v>525</v>
      </c>
      <c r="L275" s="4">
        <f t="shared" si="9"/>
        <v>0</v>
      </c>
      <c r="M275" s="3">
        <f t="shared" si="10"/>
        <v>2625</v>
      </c>
      <c r="N275" s="3">
        <f t="shared" si="11"/>
        <v>1838</v>
      </c>
      <c r="O275" s="3">
        <f t="shared" si="12"/>
        <v>787</v>
      </c>
      <c r="P275" s="3" t="str">
        <f t="shared" si="13"/>
        <v>NET BANKING</v>
      </c>
      <c r="Q275" s="3" t="str">
        <f t="shared" si="14"/>
        <v>SHIPPED</v>
      </c>
    </row>
    <row r="276">
      <c r="A276" s="1" t="s">
        <v>871</v>
      </c>
      <c r="B276" s="2">
        <f t="shared" si="1"/>
        <v>46163</v>
      </c>
      <c r="C276" s="1" t="s">
        <v>872</v>
      </c>
      <c r="D276" s="3" t="str">
        <f t="shared" si="2"/>
        <v>RATHA</v>
      </c>
      <c r="E276" s="3" t="str">
        <f t="shared" si="3"/>
        <v>TELUGANA</v>
      </c>
      <c r="F276" s="3" t="str">
        <f t="shared" si="4"/>
        <v>HYDERABAD</v>
      </c>
      <c r="G276" s="1" t="s">
        <v>873</v>
      </c>
      <c r="H276" s="3" t="str">
        <f t="shared" si="5"/>
        <v>SPORTS</v>
      </c>
      <c r="I276" s="3" t="str">
        <f t="shared" si="6"/>
        <v>FOOTBALL</v>
      </c>
      <c r="J276" s="3">
        <f t="shared" si="7"/>
        <v>5</v>
      </c>
      <c r="K276" s="3">
        <f t="shared" si="8"/>
        <v>275</v>
      </c>
      <c r="L276" s="4">
        <f t="shared" si="9"/>
        <v>0.17</v>
      </c>
      <c r="M276" s="3">
        <f t="shared" si="10"/>
        <v>1141.25</v>
      </c>
      <c r="N276" s="3">
        <f t="shared" si="11"/>
        <v>799</v>
      </c>
      <c r="O276" s="3">
        <f t="shared" si="12"/>
        <v>342</v>
      </c>
      <c r="P276" s="3" t="str">
        <f t="shared" si="13"/>
        <v>WALLET</v>
      </c>
      <c r="Q276" s="3" t="str">
        <f t="shared" si="14"/>
        <v>CANCELLED</v>
      </c>
    </row>
    <row r="277">
      <c r="A277" s="1" t="s">
        <v>874</v>
      </c>
      <c r="B277" s="2">
        <f t="shared" si="1"/>
        <v>46224</v>
      </c>
      <c r="C277" s="1" t="s">
        <v>875</v>
      </c>
      <c r="D277" s="3" t="str">
        <f t="shared" si="2"/>
        <v>SUSA</v>
      </c>
      <c r="E277" s="3" t="str">
        <f t="shared" si="3"/>
        <v>UTTHRA PRADESH</v>
      </c>
      <c r="F277" s="3" t="str">
        <f t="shared" si="4"/>
        <v>LUCKNOW</v>
      </c>
      <c r="G277" s="1" t="s">
        <v>876</v>
      </c>
      <c r="H277" s="3" t="str">
        <f t="shared" si="5"/>
        <v>FOOD</v>
      </c>
      <c r="I277" s="3" t="str">
        <f t="shared" si="6"/>
        <v>BIRIYANI</v>
      </c>
      <c r="J277" s="3">
        <f t="shared" si="7"/>
        <v>3</v>
      </c>
      <c r="K277" s="3">
        <f t="shared" si="8"/>
        <v>535</v>
      </c>
      <c r="L277" s="4">
        <f t="shared" si="9"/>
        <v>0.5</v>
      </c>
      <c r="M277" s="3">
        <f t="shared" si="10"/>
        <v>802.5</v>
      </c>
      <c r="N277" s="3">
        <f t="shared" si="11"/>
        <v>562</v>
      </c>
      <c r="O277" s="3">
        <f t="shared" si="12"/>
        <v>241</v>
      </c>
      <c r="P277" s="3" t="str">
        <f t="shared" si="13"/>
        <v>UPI</v>
      </c>
      <c r="Q277" s="3" t="str">
        <f t="shared" si="14"/>
        <v>RETURNED</v>
      </c>
    </row>
    <row r="278">
      <c r="A278" s="1" t="s">
        <v>877</v>
      </c>
      <c r="B278" s="2">
        <f t="shared" si="1"/>
        <v>46315</v>
      </c>
      <c r="C278" s="1" t="s">
        <v>878</v>
      </c>
      <c r="D278" s="3" t="str">
        <f t="shared" si="2"/>
        <v>NIVE</v>
      </c>
      <c r="E278" s="3" t="str">
        <f t="shared" si="3"/>
        <v>GUJARAT</v>
      </c>
      <c r="F278" s="3" t="str">
        <f t="shared" si="4"/>
        <v>SURAT</v>
      </c>
      <c r="G278" s="1" t="s">
        <v>879</v>
      </c>
      <c r="H278" s="3" t="str">
        <f t="shared" si="5"/>
        <v>DRESS</v>
      </c>
      <c r="I278" s="3" t="str">
        <f t="shared" si="6"/>
        <v>WOMEN WAERS</v>
      </c>
      <c r="J278" s="3">
        <f t="shared" si="7"/>
        <v>2</v>
      </c>
      <c r="K278" s="3">
        <f t="shared" si="8"/>
        <v>206</v>
      </c>
      <c r="L278" s="4">
        <f t="shared" si="9"/>
        <v>0.17</v>
      </c>
      <c r="M278" s="3">
        <f t="shared" si="10"/>
        <v>341.96</v>
      </c>
      <c r="N278" s="3">
        <f t="shared" si="11"/>
        <v>239</v>
      </c>
      <c r="O278" s="3">
        <f t="shared" si="12"/>
        <v>103</v>
      </c>
      <c r="P278" s="3" t="str">
        <f t="shared" si="13"/>
        <v>CARD</v>
      </c>
      <c r="Q278" s="3" t="str">
        <f t="shared" si="14"/>
        <v>DELIVERED</v>
      </c>
    </row>
    <row r="279">
      <c r="A279" s="1" t="s">
        <v>880</v>
      </c>
      <c r="B279" s="2">
        <f t="shared" si="1"/>
        <v>46238</v>
      </c>
      <c r="C279" s="1" t="s">
        <v>881</v>
      </c>
      <c r="D279" s="3" t="str">
        <f t="shared" si="2"/>
        <v>VINO</v>
      </c>
      <c r="E279" s="3" t="str">
        <f t="shared" si="3"/>
        <v>RAJASTHAN</v>
      </c>
      <c r="F279" s="3" t="str">
        <f t="shared" si="4"/>
        <v>JAIPUR</v>
      </c>
      <c r="G279" s="1" t="s">
        <v>882</v>
      </c>
      <c r="H279" s="3" t="str">
        <f t="shared" si="5"/>
        <v>BEAUTY</v>
      </c>
      <c r="I279" s="3" t="str">
        <f t="shared" si="6"/>
        <v>KAJAL</v>
      </c>
      <c r="J279" s="3">
        <f t="shared" si="7"/>
        <v>5</v>
      </c>
      <c r="K279" s="3">
        <f t="shared" si="8"/>
        <v>228</v>
      </c>
      <c r="L279" s="4">
        <f t="shared" si="9"/>
        <v>0.2</v>
      </c>
      <c r="M279" s="3">
        <f t="shared" si="10"/>
        <v>912</v>
      </c>
      <c r="N279" s="3">
        <f t="shared" si="11"/>
        <v>638</v>
      </c>
      <c r="O279" s="3">
        <f t="shared" si="12"/>
        <v>274</v>
      </c>
      <c r="P279" s="3" t="str">
        <f t="shared" si="13"/>
        <v>COD</v>
      </c>
      <c r="Q279" s="3" t="str">
        <f t="shared" si="14"/>
        <v>SHIPPED</v>
      </c>
    </row>
    <row r="280">
      <c r="A280" s="1" t="s">
        <v>883</v>
      </c>
      <c r="B280" s="2">
        <f t="shared" si="1"/>
        <v>46272</v>
      </c>
      <c r="C280" s="1" t="s">
        <v>884</v>
      </c>
      <c r="D280" s="3" t="str">
        <f t="shared" si="2"/>
        <v>ABI</v>
      </c>
      <c r="E280" s="3" t="str">
        <f t="shared" si="3"/>
        <v>WEST BENGAL</v>
      </c>
      <c r="F280" s="3" t="str">
        <f t="shared" si="4"/>
        <v>KOLKATA</v>
      </c>
      <c r="G280" s="1" t="s">
        <v>885</v>
      </c>
      <c r="H280" s="3" t="str">
        <f t="shared" si="5"/>
        <v>HOME &amp; KITCHEN</v>
      </c>
      <c r="I280" s="3" t="str">
        <f t="shared" si="6"/>
        <v>MIXER GRAINDER</v>
      </c>
      <c r="J280" s="3">
        <f t="shared" si="7"/>
        <v>5</v>
      </c>
      <c r="K280" s="3">
        <f t="shared" si="8"/>
        <v>155</v>
      </c>
      <c r="L280" s="4">
        <f t="shared" si="9"/>
        <v>0.5</v>
      </c>
      <c r="M280" s="3">
        <f t="shared" si="10"/>
        <v>387.5</v>
      </c>
      <c r="N280" s="3">
        <f t="shared" si="11"/>
        <v>271</v>
      </c>
      <c r="O280" s="3">
        <f t="shared" si="12"/>
        <v>117</v>
      </c>
      <c r="P280" s="3" t="str">
        <f t="shared" si="13"/>
        <v>NET BANKING</v>
      </c>
      <c r="Q280" s="3" t="str">
        <f t="shared" si="14"/>
        <v>CANCELLED</v>
      </c>
    </row>
    <row r="281">
      <c r="A281" s="1" t="s">
        <v>886</v>
      </c>
      <c r="B281" s="2">
        <f t="shared" si="1"/>
        <v>46245</v>
      </c>
      <c r="C281" s="1" t="s">
        <v>887</v>
      </c>
      <c r="D281" s="3" t="str">
        <f t="shared" si="2"/>
        <v>NIHAAR</v>
      </c>
      <c r="E281" s="3" t="str">
        <f t="shared" si="3"/>
        <v>MAGARASTRA</v>
      </c>
      <c r="F281" s="3" t="str">
        <f t="shared" si="4"/>
        <v>PUNE</v>
      </c>
      <c r="G281" s="1" t="s">
        <v>888</v>
      </c>
      <c r="H281" s="3" t="str">
        <f t="shared" si="5"/>
        <v>BOOKS</v>
      </c>
      <c r="I281" s="3" t="str">
        <f t="shared" si="6"/>
        <v>LIFE OF PI</v>
      </c>
      <c r="J281" s="3">
        <f t="shared" si="7"/>
        <v>1</v>
      </c>
      <c r="K281" s="3">
        <f t="shared" si="8"/>
        <v>566</v>
      </c>
      <c r="L281" s="4">
        <f t="shared" si="9"/>
        <v>0.15</v>
      </c>
      <c r="M281" s="3">
        <f t="shared" si="10"/>
        <v>481.1</v>
      </c>
      <c r="N281" s="3">
        <f t="shared" si="11"/>
        <v>337</v>
      </c>
      <c r="O281" s="3">
        <f t="shared" si="12"/>
        <v>144</v>
      </c>
      <c r="P281" s="3" t="str">
        <f t="shared" si="13"/>
        <v>WALLET</v>
      </c>
      <c r="Q281" s="3" t="str">
        <f t="shared" si="14"/>
        <v>RETURNED</v>
      </c>
    </row>
    <row r="282">
      <c r="A282" s="1" t="s">
        <v>889</v>
      </c>
      <c r="B282" s="2">
        <f t="shared" si="1"/>
        <v>46370</v>
      </c>
      <c r="C282" s="1" t="s">
        <v>890</v>
      </c>
      <c r="D282" s="3" t="str">
        <f t="shared" si="2"/>
        <v>SRI</v>
      </c>
      <c r="E282" s="3" t="str">
        <f t="shared" si="3"/>
        <v>TAMILNADU</v>
      </c>
      <c r="F282" s="3" t="str">
        <f t="shared" si="4"/>
        <v>THOOTHUKUDI</v>
      </c>
      <c r="G282" s="1" t="s">
        <v>891</v>
      </c>
      <c r="H282" s="3" t="str">
        <f t="shared" si="5"/>
        <v>ACCESSORIES</v>
      </c>
      <c r="I282" s="3" t="str">
        <f t="shared" si="6"/>
        <v>EARRINGS</v>
      </c>
      <c r="J282" s="3">
        <f t="shared" si="7"/>
        <v>3</v>
      </c>
      <c r="K282" s="3">
        <f t="shared" si="8"/>
        <v>422</v>
      </c>
      <c r="L282" s="4">
        <f t="shared" si="9"/>
        <v>0.5</v>
      </c>
      <c r="M282" s="3">
        <f t="shared" si="10"/>
        <v>633</v>
      </c>
      <c r="N282" s="3">
        <f t="shared" si="11"/>
        <v>443</v>
      </c>
      <c r="O282" s="3">
        <f t="shared" si="12"/>
        <v>190</v>
      </c>
      <c r="P282" s="3" t="str">
        <f t="shared" si="13"/>
        <v>UPI</v>
      </c>
      <c r="Q282" s="3" t="str">
        <f t="shared" si="14"/>
        <v>DELIVERED</v>
      </c>
    </row>
    <row r="283">
      <c r="A283" s="1" t="s">
        <v>892</v>
      </c>
      <c r="B283" s="2">
        <f t="shared" si="1"/>
        <v>46138</v>
      </c>
      <c r="C283" s="1" t="s">
        <v>893</v>
      </c>
      <c r="D283" s="3" t="str">
        <f t="shared" si="2"/>
        <v>SHOBN</v>
      </c>
      <c r="E283" s="3" t="str">
        <f t="shared" si="3"/>
        <v>KERALA</v>
      </c>
      <c r="F283" s="3" t="str">
        <f t="shared" si="4"/>
        <v>KOCHI</v>
      </c>
      <c r="G283" s="1" t="s">
        <v>894</v>
      </c>
      <c r="H283" s="3" t="str">
        <f t="shared" si="5"/>
        <v>ELECTRONICS</v>
      </c>
      <c r="I283" s="3" t="str">
        <f t="shared" si="6"/>
        <v>WIRELESS EARBUDS</v>
      </c>
      <c r="J283" s="3">
        <f t="shared" si="7"/>
        <v>3</v>
      </c>
      <c r="K283" s="3">
        <f t="shared" si="8"/>
        <v>479</v>
      </c>
      <c r="L283" s="4">
        <f t="shared" si="9"/>
        <v>0</v>
      </c>
      <c r="M283" s="3">
        <f t="shared" si="10"/>
        <v>1437</v>
      </c>
      <c r="N283" s="3">
        <f t="shared" si="11"/>
        <v>1006</v>
      </c>
      <c r="O283" s="3">
        <f t="shared" si="12"/>
        <v>431</v>
      </c>
      <c r="P283" s="3" t="str">
        <f t="shared" si="13"/>
        <v>CARD</v>
      </c>
      <c r="Q283" s="3" t="str">
        <f t="shared" si="14"/>
        <v>SHIPPED</v>
      </c>
    </row>
    <row r="284">
      <c r="A284" s="1" t="s">
        <v>895</v>
      </c>
      <c r="B284" s="2">
        <f t="shared" si="1"/>
        <v>46197</v>
      </c>
      <c r="C284" s="1" t="s">
        <v>896</v>
      </c>
      <c r="D284" s="3" t="str">
        <f t="shared" si="2"/>
        <v>SOBI</v>
      </c>
      <c r="E284" s="3" t="str">
        <f t="shared" si="3"/>
        <v>KARNATAKA</v>
      </c>
      <c r="F284" s="3" t="str">
        <f t="shared" si="4"/>
        <v>BANGALURU</v>
      </c>
      <c r="G284" s="1" t="s">
        <v>897</v>
      </c>
      <c r="H284" s="3" t="str">
        <f t="shared" si="5"/>
        <v>SPORTS</v>
      </c>
      <c r="I284" s="3" t="str">
        <f t="shared" si="6"/>
        <v>FOOTBALL</v>
      </c>
      <c r="J284" s="3">
        <f t="shared" si="7"/>
        <v>2</v>
      </c>
      <c r="K284" s="3">
        <f t="shared" si="8"/>
        <v>211</v>
      </c>
      <c r="L284" s="4">
        <f t="shared" si="9"/>
        <v>0</v>
      </c>
      <c r="M284" s="3">
        <f t="shared" si="10"/>
        <v>422</v>
      </c>
      <c r="N284" s="3">
        <f t="shared" si="11"/>
        <v>295</v>
      </c>
      <c r="O284" s="3">
        <f t="shared" si="12"/>
        <v>127</v>
      </c>
      <c r="P284" s="3" t="str">
        <f t="shared" si="13"/>
        <v>COD</v>
      </c>
      <c r="Q284" s="3" t="str">
        <f t="shared" si="14"/>
        <v>CANCELLED</v>
      </c>
    </row>
    <row r="285">
      <c r="A285" s="1" t="s">
        <v>898</v>
      </c>
      <c r="B285" s="2">
        <f t="shared" si="1"/>
        <v>46258</v>
      </c>
      <c r="C285" s="1" t="s">
        <v>899</v>
      </c>
      <c r="D285" s="3" t="str">
        <f t="shared" si="2"/>
        <v>SUJI</v>
      </c>
      <c r="E285" s="3" t="str">
        <f t="shared" si="3"/>
        <v>ANDHRA PRADESH</v>
      </c>
      <c r="F285" s="3" t="str">
        <f t="shared" si="4"/>
        <v>TIRUPATI</v>
      </c>
      <c r="G285" s="1" t="s">
        <v>900</v>
      </c>
      <c r="H285" s="3" t="str">
        <f t="shared" si="5"/>
        <v>FOOD</v>
      </c>
      <c r="I285" s="3" t="str">
        <f t="shared" si="6"/>
        <v>BIRIYANI</v>
      </c>
      <c r="J285" s="3">
        <f t="shared" si="7"/>
        <v>2</v>
      </c>
      <c r="K285" s="3">
        <f t="shared" si="8"/>
        <v>323</v>
      </c>
      <c r="L285" s="4">
        <f t="shared" si="9"/>
        <v>0.1</v>
      </c>
      <c r="M285" s="3">
        <f t="shared" si="10"/>
        <v>581.4</v>
      </c>
      <c r="N285" s="3">
        <f t="shared" si="11"/>
        <v>407</v>
      </c>
      <c r="O285" s="3">
        <f t="shared" si="12"/>
        <v>174</v>
      </c>
      <c r="P285" s="3" t="str">
        <f t="shared" si="13"/>
        <v>NET BANKING</v>
      </c>
      <c r="Q285" s="3" t="str">
        <f t="shared" si="14"/>
        <v>RETURNED</v>
      </c>
    </row>
    <row r="286">
      <c r="A286" s="1" t="s">
        <v>901</v>
      </c>
      <c r="B286" s="2">
        <f t="shared" si="1"/>
        <v>46115</v>
      </c>
      <c r="C286" s="1" t="s">
        <v>902</v>
      </c>
      <c r="D286" s="3" t="str">
        <f t="shared" si="2"/>
        <v>RATHA</v>
      </c>
      <c r="E286" s="3" t="str">
        <f t="shared" si="3"/>
        <v>TELUGANA</v>
      </c>
      <c r="F286" s="3" t="str">
        <f t="shared" si="4"/>
        <v>HYDERABAD</v>
      </c>
      <c r="G286" s="1" t="s">
        <v>903</v>
      </c>
      <c r="H286" s="3" t="str">
        <f t="shared" si="5"/>
        <v>DRESS</v>
      </c>
      <c r="I286" s="3" t="str">
        <f t="shared" si="6"/>
        <v>WOMEN WAERS</v>
      </c>
      <c r="J286" s="3">
        <f t="shared" si="7"/>
        <v>4</v>
      </c>
      <c r="K286" s="3">
        <f t="shared" si="8"/>
        <v>138</v>
      </c>
      <c r="L286" s="4">
        <f t="shared" si="9"/>
        <v>0.15</v>
      </c>
      <c r="M286" s="3">
        <f t="shared" si="10"/>
        <v>469.2</v>
      </c>
      <c r="N286" s="3">
        <f t="shared" si="11"/>
        <v>328</v>
      </c>
      <c r="O286" s="3">
        <f t="shared" si="12"/>
        <v>141</v>
      </c>
      <c r="P286" s="3" t="str">
        <f t="shared" si="13"/>
        <v>WALLET</v>
      </c>
      <c r="Q286" s="3" t="str">
        <f t="shared" si="14"/>
        <v>DELIVERED</v>
      </c>
    </row>
    <row r="287">
      <c r="A287" s="1" t="s">
        <v>904</v>
      </c>
      <c r="B287" s="2">
        <f t="shared" si="1"/>
        <v>46135</v>
      </c>
      <c r="C287" s="1" t="s">
        <v>905</v>
      </c>
      <c r="D287" s="3" t="str">
        <f t="shared" si="2"/>
        <v>SUSA</v>
      </c>
      <c r="E287" s="3" t="str">
        <f t="shared" si="3"/>
        <v>UTTHRA PRADESH</v>
      </c>
      <c r="F287" s="3" t="str">
        <f t="shared" si="4"/>
        <v>LUCKNOW</v>
      </c>
      <c r="G287" s="1" t="s">
        <v>906</v>
      </c>
      <c r="H287" s="3" t="str">
        <f t="shared" si="5"/>
        <v>BEAUTY</v>
      </c>
      <c r="I287" s="3" t="str">
        <f t="shared" si="6"/>
        <v>KAJAL</v>
      </c>
      <c r="J287" s="3">
        <f t="shared" si="7"/>
        <v>5</v>
      </c>
      <c r="K287" s="3">
        <f t="shared" si="8"/>
        <v>331</v>
      </c>
      <c r="L287" s="4">
        <f t="shared" si="9"/>
        <v>0</v>
      </c>
      <c r="M287" s="3">
        <f t="shared" si="10"/>
        <v>1655</v>
      </c>
      <c r="N287" s="3">
        <f t="shared" si="11"/>
        <v>1159</v>
      </c>
      <c r="O287" s="3">
        <f t="shared" si="12"/>
        <v>496</v>
      </c>
      <c r="P287" s="3" t="str">
        <f t="shared" si="13"/>
        <v>UPI</v>
      </c>
      <c r="Q287" s="3" t="str">
        <f t="shared" si="14"/>
        <v>SHIPPED</v>
      </c>
    </row>
    <row r="288">
      <c r="A288" s="1" t="s">
        <v>907</v>
      </c>
      <c r="B288" s="2">
        <f t="shared" si="1"/>
        <v>46130</v>
      </c>
      <c r="C288" s="1" t="s">
        <v>908</v>
      </c>
      <c r="D288" s="3" t="str">
        <f t="shared" si="2"/>
        <v>NIVE</v>
      </c>
      <c r="E288" s="3" t="str">
        <f t="shared" si="3"/>
        <v>GUJARAT</v>
      </c>
      <c r="F288" s="3" t="str">
        <f t="shared" si="4"/>
        <v>SURAT</v>
      </c>
      <c r="G288" s="1" t="s">
        <v>909</v>
      </c>
      <c r="H288" s="3" t="str">
        <f t="shared" si="5"/>
        <v>HOME &amp; KITCHEN</v>
      </c>
      <c r="I288" s="3" t="str">
        <f t="shared" si="6"/>
        <v>MIXER GRAINDER</v>
      </c>
      <c r="J288" s="3">
        <f t="shared" si="7"/>
        <v>2</v>
      </c>
      <c r="K288" s="3">
        <f t="shared" si="8"/>
        <v>448</v>
      </c>
      <c r="L288" s="4">
        <f t="shared" si="9"/>
        <v>0</v>
      </c>
      <c r="M288" s="3">
        <f t="shared" si="10"/>
        <v>896</v>
      </c>
      <c r="N288" s="3">
        <f t="shared" si="11"/>
        <v>627</v>
      </c>
      <c r="O288" s="3">
        <f t="shared" si="12"/>
        <v>269</v>
      </c>
      <c r="P288" s="3" t="str">
        <f t="shared" si="13"/>
        <v>CARD</v>
      </c>
      <c r="Q288" s="3" t="str">
        <f t="shared" si="14"/>
        <v>CANCELLED</v>
      </c>
    </row>
    <row r="289">
      <c r="A289" s="1" t="s">
        <v>910</v>
      </c>
      <c r="B289" s="2">
        <f t="shared" si="1"/>
        <v>46337</v>
      </c>
      <c r="C289" s="1" t="s">
        <v>911</v>
      </c>
      <c r="D289" s="3" t="str">
        <f t="shared" si="2"/>
        <v>VINO</v>
      </c>
      <c r="E289" s="3" t="str">
        <f t="shared" si="3"/>
        <v>RAJASTHAN</v>
      </c>
      <c r="F289" s="3" t="str">
        <f t="shared" si="4"/>
        <v>JAIPUR</v>
      </c>
      <c r="G289" s="1" t="s">
        <v>912</v>
      </c>
      <c r="H289" s="3" t="str">
        <f t="shared" si="5"/>
        <v>BOOKS</v>
      </c>
      <c r="I289" s="3" t="str">
        <f t="shared" si="6"/>
        <v>LIFE OF PI</v>
      </c>
      <c r="J289" s="3">
        <f t="shared" si="7"/>
        <v>2</v>
      </c>
      <c r="K289" s="3">
        <f t="shared" si="8"/>
        <v>460</v>
      </c>
      <c r="L289" s="4">
        <f t="shared" si="9"/>
        <v>0.15</v>
      </c>
      <c r="M289" s="3">
        <f t="shared" si="10"/>
        <v>782</v>
      </c>
      <c r="N289" s="3">
        <f t="shared" si="11"/>
        <v>547</v>
      </c>
      <c r="O289" s="3">
        <f t="shared" si="12"/>
        <v>235</v>
      </c>
      <c r="P289" s="3" t="str">
        <f t="shared" si="13"/>
        <v>COD</v>
      </c>
      <c r="Q289" s="3" t="str">
        <f t="shared" si="14"/>
        <v>RETURNED</v>
      </c>
    </row>
    <row r="290">
      <c r="A290" s="1" t="s">
        <v>913</v>
      </c>
      <c r="B290" s="2">
        <f t="shared" si="1"/>
        <v>46131</v>
      </c>
      <c r="C290" s="1" t="s">
        <v>914</v>
      </c>
      <c r="D290" s="3" t="str">
        <f t="shared" si="2"/>
        <v>ABI</v>
      </c>
      <c r="E290" s="3" t="str">
        <f t="shared" si="3"/>
        <v>WEST BENGAL</v>
      </c>
      <c r="F290" s="3" t="str">
        <f t="shared" si="4"/>
        <v>KOLKATA</v>
      </c>
      <c r="G290" s="1" t="s">
        <v>915</v>
      </c>
      <c r="H290" s="3" t="str">
        <f t="shared" si="5"/>
        <v>ACCESSORIES</v>
      </c>
      <c r="I290" s="3" t="str">
        <f t="shared" si="6"/>
        <v>EARRINGS</v>
      </c>
      <c r="J290" s="3">
        <f t="shared" si="7"/>
        <v>4</v>
      </c>
      <c r="K290" s="3">
        <f t="shared" si="8"/>
        <v>131</v>
      </c>
      <c r="L290" s="4">
        <f t="shared" si="9"/>
        <v>0.1</v>
      </c>
      <c r="M290" s="3">
        <f t="shared" si="10"/>
        <v>471.6</v>
      </c>
      <c r="N290" s="3">
        <f t="shared" si="11"/>
        <v>330</v>
      </c>
      <c r="O290" s="3">
        <f t="shared" si="12"/>
        <v>142</v>
      </c>
      <c r="P290" s="3" t="str">
        <f t="shared" si="13"/>
        <v>NET BANKING</v>
      </c>
      <c r="Q290" s="3" t="str">
        <f t="shared" si="14"/>
        <v>DELIVERED</v>
      </c>
    </row>
    <row r="291">
      <c r="A291" s="1" t="s">
        <v>916</v>
      </c>
      <c r="B291" s="2">
        <f t="shared" si="1"/>
        <v>46346</v>
      </c>
      <c r="C291" s="1" t="s">
        <v>917</v>
      </c>
      <c r="D291" s="3" t="str">
        <f t="shared" si="2"/>
        <v>NIHAAR</v>
      </c>
      <c r="E291" s="3" t="str">
        <f t="shared" si="3"/>
        <v>MAGARASTRA</v>
      </c>
      <c r="F291" s="3" t="str">
        <f t="shared" si="4"/>
        <v>PUNE</v>
      </c>
      <c r="G291" s="1" t="s">
        <v>918</v>
      </c>
      <c r="H291" s="3" t="str">
        <f t="shared" si="5"/>
        <v>ELECTRONICS</v>
      </c>
      <c r="I291" s="3" t="str">
        <f t="shared" si="6"/>
        <v>WIRELESS EARBUDS</v>
      </c>
      <c r="J291" s="3">
        <f t="shared" si="7"/>
        <v>1</v>
      </c>
      <c r="K291" s="3">
        <f t="shared" si="8"/>
        <v>135</v>
      </c>
      <c r="L291" s="4">
        <f t="shared" si="9"/>
        <v>0.5</v>
      </c>
      <c r="M291" s="3">
        <f t="shared" si="10"/>
        <v>67.5</v>
      </c>
      <c r="N291" s="3">
        <f t="shared" si="11"/>
        <v>47</v>
      </c>
      <c r="O291" s="3">
        <f t="shared" si="12"/>
        <v>21</v>
      </c>
      <c r="P291" s="3" t="str">
        <f t="shared" si="13"/>
        <v>WALLET</v>
      </c>
      <c r="Q291" s="3" t="str">
        <f t="shared" si="14"/>
        <v>SHIPPED</v>
      </c>
    </row>
    <row r="292">
      <c r="A292" s="1" t="s">
        <v>919</v>
      </c>
      <c r="B292" s="2">
        <f t="shared" si="1"/>
        <v>46185</v>
      </c>
      <c r="C292" s="1" t="s">
        <v>920</v>
      </c>
      <c r="D292" s="3" t="str">
        <f t="shared" si="2"/>
        <v>SRI</v>
      </c>
      <c r="E292" s="3" t="str">
        <f t="shared" si="3"/>
        <v>TAMILNADU</v>
      </c>
      <c r="F292" s="3" t="str">
        <f t="shared" si="4"/>
        <v>THOOTHUKUDI</v>
      </c>
      <c r="G292" s="1" t="s">
        <v>921</v>
      </c>
      <c r="H292" s="3" t="str">
        <f t="shared" si="5"/>
        <v>SPORTS</v>
      </c>
      <c r="I292" s="3" t="str">
        <f t="shared" si="6"/>
        <v>FOOTBALL</v>
      </c>
      <c r="J292" s="3">
        <f t="shared" si="7"/>
        <v>3</v>
      </c>
      <c r="K292" s="3">
        <f t="shared" si="8"/>
        <v>330</v>
      </c>
      <c r="L292" s="4">
        <f t="shared" si="9"/>
        <v>0.5</v>
      </c>
      <c r="M292" s="3">
        <f t="shared" si="10"/>
        <v>495</v>
      </c>
      <c r="N292" s="3">
        <f t="shared" si="11"/>
        <v>347</v>
      </c>
      <c r="O292" s="3">
        <f t="shared" si="12"/>
        <v>148</v>
      </c>
      <c r="P292" s="3" t="str">
        <f t="shared" si="13"/>
        <v>UPI</v>
      </c>
      <c r="Q292" s="3" t="str">
        <f t="shared" si="14"/>
        <v>CANCELLED</v>
      </c>
    </row>
    <row r="293">
      <c r="A293" s="1" t="s">
        <v>922</v>
      </c>
      <c r="B293" s="2">
        <f t="shared" si="1"/>
        <v>46167</v>
      </c>
      <c r="C293" s="1" t="s">
        <v>923</v>
      </c>
      <c r="D293" s="3" t="str">
        <f t="shared" si="2"/>
        <v>SHOBN</v>
      </c>
      <c r="E293" s="3" t="str">
        <f t="shared" si="3"/>
        <v>KERALA</v>
      </c>
      <c r="F293" s="3" t="str">
        <f t="shared" si="4"/>
        <v>KOCHI</v>
      </c>
      <c r="G293" s="1" t="s">
        <v>924</v>
      </c>
      <c r="H293" s="3" t="str">
        <f t="shared" si="5"/>
        <v>FOOD</v>
      </c>
      <c r="I293" s="3" t="str">
        <f t="shared" si="6"/>
        <v>BIRIYANI</v>
      </c>
      <c r="J293" s="3">
        <f t="shared" si="7"/>
        <v>5</v>
      </c>
      <c r="K293" s="3">
        <f t="shared" si="8"/>
        <v>150</v>
      </c>
      <c r="L293" s="4">
        <f t="shared" si="9"/>
        <v>0.5</v>
      </c>
      <c r="M293" s="3">
        <f t="shared" si="10"/>
        <v>375</v>
      </c>
      <c r="N293" s="3">
        <f t="shared" si="11"/>
        <v>263</v>
      </c>
      <c r="O293" s="3">
        <f t="shared" si="12"/>
        <v>112</v>
      </c>
      <c r="P293" s="3" t="str">
        <f t="shared" si="13"/>
        <v>CARD</v>
      </c>
      <c r="Q293" s="3" t="str">
        <f t="shared" si="14"/>
        <v>RETURNED</v>
      </c>
    </row>
    <row r="294">
      <c r="A294" s="1" t="s">
        <v>925</v>
      </c>
      <c r="B294" s="2">
        <f t="shared" si="1"/>
        <v>46219</v>
      </c>
      <c r="C294" s="1" t="s">
        <v>926</v>
      </c>
      <c r="D294" s="3" t="str">
        <f t="shared" si="2"/>
        <v>SOBI</v>
      </c>
      <c r="E294" s="3" t="str">
        <f t="shared" si="3"/>
        <v>KARNATAKA</v>
      </c>
      <c r="F294" s="3" t="str">
        <f t="shared" si="4"/>
        <v>BANGALURU</v>
      </c>
      <c r="G294" s="1" t="s">
        <v>927</v>
      </c>
      <c r="H294" s="3" t="str">
        <f t="shared" si="5"/>
        <v>DRESS</v>
      </c>
      <c r="I294" s="3" t="str">
        <f t="shared" si="6"/>
        <v>WOMEN WAERS</v>
      </c>
      <c r="J294" s="3">
        <f t="shared" si="7"/>
        <v>1</v>
      </c>
      <c r="K294" s="3">
        <f t="shared" si="8"/>
        <v>266</v>
      </c>
      <c r="L294" s="4">
        <f t="shared" si="9"/>
        <v>0.5</v>
      </c>
      <c r="M294" s="3">
        <f t="shared" si="10"/>
        <v>133</v>
      </c>
      <c r="N294" s="3">
        <f t="shared" si="11"/>
        <v>93</v>
      </c>
      <c r="O294" s="3">
        <f t="shared" si="12"/>
        <v>40</v>
      </c>
      <c r="P294" s="3" t="str">
        <f t="shared" si="13"/>
        <v>COD</v>
      </c>
      <c r="Q294" s="3" t="str">
        <f t="shared" si="14"/>
        <v>DELIVERED</v>
      </c>
    </row>
    <row r="295">
      <c r="A295" s="1" t="s">
        <v>928</v>
      </c>
      <c r="B295" s="2">
        <f t="shared" si="1"/>
        <v>46089</v>
      </c>
      <c r="C295" s="1" t="s">
        <v>929</v>
      </c>
      <c r="D295" s="3" t="str">
        <f t="shared" si="2"/>
        <v>SUJI</v>
      </c>
      <c r="E295" s="3" t="str">
        <f t="shared" si="3"/>
        <v>ANDHRA PRADESH</v>
      </c>
      <c r="F295" s="3" t="str">
        <f t="shared" si="4"/>
        <v>TIRUPATI</v>
      </c>
      <c r="G295" s="1" t="s">
        <v>930</v>
      </c>
      <c r="H295" s="3" t="str">
        <f t="shared" si="5"/>
        <v>BEAUTY</v>
      </c>
      <c r="I295" s="3" t="str">
        <f t="shared" si="6"/>
        <v>KAJAL</v>
      </c>
      <c r="J295" s="3">
        <f t="shared" si="7"/>
        <v>4</v>
      </c>
      <c r="K295" s="3">
        <f t="shared" si="8"/>
        <v>103</v>
      </c>
      <c r="L295" s="4">
        <f t="shared" si="9"/>
        <v>0.5</v>
      </c>
      <c r="M295" s="3">
        <f t="shared" si="10"/>
        <v>206</v>
      </c>
      <c r="N295" s="3">
        <f t="shared" si="11"/>
        <v>144</v>
      </c>
      <c r="O295" s="3">
        <f t="shared" si="12"/>
        <v>62</v>
      </c>
      <c r="P295" s="3" t="str">
        <f t="shared" si="13"/>
        <v>NET BANKING</v>
      </c>
      <c r="Q295" s="3" t="str">
        <f t="shared" si="14"/>
        <v>SHIPPED</v>
      </c>
    </row>
    <row r="296">
      <c r="A296" s="1" t="s">
        <v>931</v>
      </c>
      <c r="B296" s="2">
        <f t="shared" si="1"/>
        <v>46200</v>
      </c>
      <c r="C296" s="1" t="s">
        <v>932</v>
      </c>
      <c r="D296" s="3" t="str">
        <f t="shared" si="2"/>
        <v>RATHA</v>
      </c>
      <c r="E296" s="3" t="str">
        <f t="shared" si="3"/>
        <v>TELUGANA</v>
      </c>
      <c r="F296" s="3" t="str">
        <f t="shared" si="4"/>
        <v>HYDERABAD</v>
      </c>
      <c r="G296" s="1" t="s">
        <v>933</v>
      </c>
      <c r="H296" s="3" t="str">
        <f t="shared" si="5"/>
        <v>HOME &amp; KITCHEN</v>
      </c>
      <c r="I296" s="3" t="str">
        <f t="shared" si="6"/>
        <v>MIXER GRAINDER</v>
      </c>
      <c r="J296" s="3">
        <f t="shared" si="7"/>
        <v>2</v>
      </c>
      <c r="K296" s="3">
        <f t="shared" si="8"/>
        <v>242</v>
      </c>
      <c r="L296" s="4">
        <f t="shared" si="9"/>
        <v>0.1</v>
      </c>
      <c r="M296" s="3">
        <f t="shared" si="10"/>
        <v>435.6</v>
      </c>
      <c r="N296" s="3">
        <f t="shared" si="11"/>
        <v>305</v>
      </c>
      <c r="O296" s="3">
        <f t="shared" si="12"/>
        <v>131</v>
      </c>
      <c r="P296" s="3" t="str">
        <f t="shared" si="13"/>
        <v>WALLET</v>
      </c>
      <c r="Q296" s="3" t="str">
        <f t="shared" si="14"/>
        <v>CANCELLED</v>
      </c>
    </row>
    <row r="297">
      <c r="A297" s="1" t="s">
        <v>934</v>
      </c>
      <c r="B297" s="2">
        <f t="shared" si="1"/>
        <v>46318</v>
      </c>
      <c r="C297" s="1" t="s">
        <v>935</v>
      </c>
      <c r="D297" s="3" t="str">
        <f t="shared" si="2"/>
        <v>SUSA</v>
      </c>
      <c r="E297" s="3" t="str">
        <f t="shared" si="3"/>
        <v>UTTHRA PRADESH</v>
      </c>
      <c r="F297" s="3" t="str">
        <f t="shared" si="4"/>
        <v>LUCKNOW</v>
      </c>
      <c r="G297" s="1" t="s">
        <v>936</v>
      </c>
      <c r="H297" s="3" t="str">
        <f t="shared" si="5"/>
        <v>BOOKS</v>
      </c>
      <c r="I297" s="3" t="str">
        <f t="shared" si="6"/>
        <v>LIFE OF PI</v>
      </c>
      <c r="J297" s="3">
        <f t="shared" si="7"/>
        <v>4</v>
      </c>
      <c r="K297" s="3">
        <f t="shared" si="8"/>
        <v>399</v>
      </c>
      <c r="L297" s="4">
        <f t="shared" si="9"/>
        <v>0.17</v>
      </c>
      <c r="M297" s="3">
        <f t="shared" si="10"/>
        <v>1324.68</v>
      </c>
      <c r="N297" s="3">
        <f t="shared" si="11"/>
        <v>927</v>
      </c>
      <c r="O297" s="3">
        <f t="shared" si="12"/>
        <v>398</v>
      </c>
      <c r="P297" s="3" t="str">
        <f t="shared" si="13"/>
        <v>UPI</v>
      </c>
      <c r="Q297" s="3" t="str">
        <f t="shared" si="14"/>
        <v>RETURNED</v>
      </c>
    </row>
    <row r="298">
      <c r="A298" s="1" t="s">
        <v>937</v>
      </c>
      <c r="B298" s="2">
        <f t="shared" si="1"/>
        <v>46200</v>
      </c>
      <c r="C298" s="1" t="s">
        <v>938</v>
      </c>
      <c r="D298" s="3" t="str">
        <f t="shared" si="2"/>
        <v>NIVE</v>
      </c>
      <c r="E298" s="3" t="str">
        <f t="shared" si="3"/>
        <v>GUJARAT</v>
      </c>
      <c r="F298" s="3" t="str">
        <f t="shared" si="4"/>
        <v>SURAT</v>
      </c>
      <c r="G298" s="1" t="s">
        <v>939</v>
      </c>
      <c r="H298" s="3" t="str">
        <f t="shared" si="5"/>
        <v>ACCESSORIES</v>
      </c>
      <c r="I298" s="3" t="str">
        <f t="shared" si="6"/>
        <v>EARRINGS</v>
      </c>
      <c r="J298" s="3">
        <f t="shared" si="7"/>
        <v>2</v>
      </c>
      <c r="K298" s="3">
        <f t="shared" si="8"/>
        <v>250</v>
      </c>
      <c r="L298" s="4">
        <f t="shared" si="9"/>
        <v>0.1</v>
      </c>
      <c r="M298" s="3">
        <f t="shared" si="10"/>
        <v>450</v>
      </c>
      <c r="N298" s="3">
        <f t="shared" si="11"/>
        <v>315</v>
      </c>
      <c r="O298" s="3">
        <f t="shared" si="12"/>
        <v>135</v>
      </c>
      <c r="P298" s="3" t="str">
        <f t="shared" si="13"/>
        <v>CARD</v>
      </c>
      <c r="Q298" s="3" t="str">
        <f t="shared" si="14"/>
        <v>DELIVERED</v>
      </c>
    </row>
    <row r="299">
      <c r="A299" s="1" t="s">
        <v>940</v>
      </c>
      <c r="B299" s="2">
        <f t="shared" si="1"/>
        <v>46117</v>
      </c>
      <c r="C299" s="1" t="s">
        <v>941</v>
      </c>
      <c r="D299" s="3" t="str">
        <f t="shared" si="2"/>
        <v>VINO</v>
      </c>
      <c r="E299" s="3" t="str">
        <f t="shared" si="3"/>
        <v>RAJASTHAN</v>
      </c>
      <c r="F299" s="3" t="str">
        <f t="shared" si="4"/>
        <v>JAIPUR</v>
      </c>
      <c r="G299" s="1" t="s">
        <v>942</v>
      </c>
      <c r="H299" s="3" t="str">
        <f t="shared" si="5"/>
        <v>ELECTRONICS</v>
      </c>
      <c r="I299" s="3" t="str">
        <f t="shared" si="6"/>
        <v>WIRELESS EARBUDS</v>
      </c>
      <c r="J299" s="3">
        <f t="shared" si="7"/>
        <v>3</v>
      </c>
      <c r="K299" s="3">
        <f t="shared" si="8"/>
        <v>239</v>
      </c>
      <c r="L299" s="4">
        <f t="shared" si="9"/>
        <v>0</v>
      </c>
      <c r="M299" s="3">
        <f t="shared" si="10"/>
        <v>717</v>
      </c>
      <c r="N299" s="3">
        <f t="shared" si="11"/>
        <v>502</v>
      </c>
      <c r="O299" s="3">
        <f t="shared" si="12"/>
        <v>215</v>
      </c>
      <c r="P299" s="3" t="str">
        <f t="shared" si="13"/>
        <v>COD</v>
      </c>
      <c r="Q299" s="3" t="str">
        <f t="shared" si="14"/>
        <v>SHIPPED</v>
      </c>
    </row>
    <row r="300">
      <c r="A300" s="1" t="s">
        <v>943</v>
      </c>
      <c r="B300" s="2">
        <f t="shared" si="1"/>
        <v>46325</v>
      </c>
      <c r="C300" s="1" t="s">
        <v>944</v>
      </c>
      <c r="D300" s="3" t="str">
        <f t="shared" si="2"/>
        <v>ABI</v>
      </c>
      <c r="E300" s="3" t="str">
        <f t="shared" si="3"/>
        <v>WEST BENGAL</v>
      </c>
      <c r="F300" s="3" t="str">
        <f t="shared" si="4"/>
        <v>KOLKATA</v>
      </c>
      <c r="G300" s="1" t="s">
        <v>945</v>
      </c>
      <c r="H300" s="3" t="str">
        <f t="shared" si="5"/>
        <v>SPORTS</v>
      </c>
      <c r="I300" s="3" t="str">
        <f t="shared" si="6"/>
        <v>FOOTBALL</v>
      </c>
      <c r="J300" s="3">
        <f t="shared" si="7"/>
        <v>4</v>
      </c>
      <c r="K300" s="3">
        <f t="shared" si="8"/>
        <v>432</v>
      </c>
      <c r="L300" s="4">
        <f t="shared" si="9"/>
        <v>0.15</v>
      </c>
      <c r="M300" s="3">
        <f t="shared" si="10"/>
        <v>1468.8</v>
      </c>
      <c r="N300" s="3">
        <f t="shared" si="11"/>
        <v>1028</v>
      </c>
      <c r="O300" s="3">
        <f t="shared" si="12"/>
        <v>441</v>
      </c>
      <c r="P300" s="3" t="str">
        <f t="shared" si="13"/>
        <v>NET BANKING</v>
      </c>
      <c r="Q300" s="3" t="str">
        <f t="shared" si="14"/>
        <v>CANCELLED</v>
      </c>
    </row>
    <row r="301">
      <c r="A301" s="1" t="s">
        <v>946</v>
      </c>
      <c r="B301" s="2">
        <f t="shared" si="1"/>
        <v>46334</v>
      </c>
      <c r="C301" s="1" t="s">
        <v>947</v>
      </c>
      <c r="D301" s="3" t="str">
        <f t="shared" si="2"/>
        <v>NIHAAR</v>
      </c>
      <c r="E301" s="3" t="str">
        <f t="shared" si="3"/>
        <v>MAGARASTRA</v>
      </c>
      <c r="F301" s="3" t="str">
        <f t="shared" si="4"/>
        <v>PUNE</v>
      </c>
      <c r="G301" s="1" t="s">
        <v>948</v>
      </c>
      <c r="H301" s="3" t="str">
        <f t="shared" si="5"/>
        <v>FOOD</v>
      </c>
      <c r="I301" s="3" t="str">
        <f t="shared" si="6"/>
        <v>BIRIYANI</v>
      </c>
      <c r="J301" s="3">
        <f t="shared" si="7"/>
        <v>3</v>
      </c>
      <c r="K301" s="3">
        <f t="shared" si="8"/>
        <v>154</v>
      </c>
      <c r="L301" s="4">
        <f t="shared" si="9"/>
        <v>0.15</v>
      </c>
      <c r="M301" s="3">
        <f t="shared" si="10"/>
        <v>392.7</v>
      </c>
      <c r="N301" s="3">
        <f t="shared" si="11"/>
        <v>275</v>
      </c>
      <c r="O301" s="3">
        <f t="shared" si="12"/>
        <v>118</v>
      </c>
      <c r="P301" s="3" t="str">
        <f t="shared" si="13"/>
        <v>WALLET</v>
      </c>
      <c r="Q301" s="3" t="str">
        <f t="shared" si="14"/>
        <v>RETURNED</v>
      </c>
    </row>
    <row r="302">
      <c r="A302" s="1" t="s">
        <v>949</v>
      </c>
      <c r="B302" s="2">
        <f t="shared" si="1"/>
        <v>46252</v>
      </c>
      <c r="C302" s="1" t="s">
        <v>950</v>
      </c>
      <c r="D302" s="3" t="str">
        <f t="shared" si="2"/>
        <v>SRI</v>
      </c>
      <c r="E302" s="3" t="str">
        <f t="shared" si="3"/>
        <v>TAMILNADU</v>
      </c>
      <c r="F302" s="3" t="str">
        <f t="shared" si="4"/>
        <v>THOOTHUKUDI</v>
      </c>
      <c r="G302" s="1" t="s">
        <v>951</v>
      </c>
      <c r="H302" s="3" t="str">
        <f t="shared" si="5"/>
        <v>DRESS</v>
      </c>
      <c r="I302" s="3" t="str">
        <f t="shared" si="6"/>
        <v>WOMEN WAERS</v>
      </c>
      <c r="J302" s="3">
        <f t="shared" si="7"/>
        <v>1</v>
      </c>
      <c r="K302" s="3">
        <f t="shared" si="8"/>
        <v>247</v>
      </c>
      <c r="L302" s="4">
        <f t="shared" si="9"/>
        <v>0.2</v>
      </c>
      <c r="M302" s="3">
        <f t="shared" si="10"/>
        <v>197.6</v>
      </c>
      <c r="N302" s="3">
        <f t="shared" si="11"/>
        <v>138</v>
      </c>
      <c r="O302" s="3">
        <f t="shared" si="12"/>
        <v>60</v>
      </c>
      <c r="P302" s="3" t="str">
        <f t="shared" si="13"/>
        <v>UPI</v>
      </c>
      <c r="Q302" s="3" t="str">
        <f t="shared" si="14"/>
        <v>DELIVERED</v>
      </c>
    </row>
    <row r="303">
      <c r="A303" s="1" t="s">
        <v>952</v>
      </c>
      <c r="B303" s="2">
        <f t="shared" si="1"/>
        <v>46330</v>
      </c>
      <c r="C303" s="1" t="s">
        <v>953</v>
      </c>
      <c r="D303" s="3" t="str">
        <f t="shared" si="2"/>
        <v>SHOBN</v>
      </c>
      <c r="E303" s="3" t="str">
        <f t="shared" si="3"/>
        <v>KERALA</v>
      </c>
      <c r="F303" s="3" t="str">
        <f t="shared" si="4"/>
        <v>KOCHI</v>
      </c>
      <c r="G303" s="1" t="s">
        <v>954</v>
      </c>
      <c r="H303" s="3" t="str">
        <f t="shared" si="5"/>
        <v>BEAUTY</v>
      </c>
      <c r="I303" s="3" t="str">
        <f t="shared" si="6"/>
        <v>KAJAL</v>
      </c>
      <c r="J303" s="3">
        <f t="shared" si="7"/>
        <v>3</v>
      </c>
      <c r="K303" s="3">
        <f t="shared" si="8"/>
        <v>163</v>
      </c>
      <c r="L303" s="4">
        <f t="shared" si="9"/>
        <v>0</v>
      </c>
      <c r="M303" s="3">
        <f t="shared" si="10"/>
        <v>489</v>
      </c>
      <c r="N303" s="3">
        <f t="shared" si="11"/>
        <v>342</v>
      </c>
      <c r="O303" s="3">
        <f t="shared" si="12"/>
        <v>147</v>
      </c>
      <c r="P303" s="3" t="str">
        <f t="shared" si="13"/>
        <v>CARD</v>
      </c>
      <c r="Q303" s="3" t="str">
        <f t="shared" si="14"/>
        <v>SHIPPED</v>
      </c>
    </row>
    <row r="304">
      <c r="A304" s="1" t="s">
        <v>955</v>
      </c>
      <c r="B304" s="2">
        <f t="shared" si="1"/>
        <v>46199</v>
      </c>
      <c r="C304" s="1" t="s">
        <v>956</v>
      </c>
      <c r="D304" s="3" t="str">
        <f t="shared" si="2"/>
        <v>SOBI</v>
      </c>
      <c r="E304" s="3" t="str">
        <f t="shared" si="3"/>
        <v>KARNATAKA</v>
      </c>
      <c r="F304" s="3" t="str">
        <f t="shared" si="4"/>
        <v>BANGALURU</v>
      </c>
      <c r="G304" s="1" t="s">
        <v>957</v>
      </c>
      <c r="H304" s="3" t="str">
        <f t="shared" si="5"/>
        <v>HOME &amp; KITCHEN</v>
      </c>
      <c r="I304" s="3" t="str">
        <f t="shared" si="6"/>
        <v>MIXER GRAINDER</v>
      </c>
      <c r="J304" s="3">
        <f t="shared" si="7"/>
        <v>3</v>
      </c>
      <c r="K304" s="3">
        <f t="shared" si="8"/>
        <v>244</v>
      </c>
      <c r="L304" s="4">
        <f t="shared" si="9"/>
        <v>0.17</v>
      </c>
      <c r="M304" s="3">
        <f t="shared" si="10"/>
        <v>607.56</v>
      </c>
      <c r="N304" s="3">
        <f t="shared" si="11"/>
        <v>425</v>
      </c>
      <c r="O304" s="3">
        <f t="shared" si="12"/>
        <v>183</v>
      </c>
      <c r="P304" s="3" t="str">
        <f t="shared" si="13"/>
        <v>COD</v>
      </c>
      <c r="Q304" s="3" t="str">
        <f t="shared" si="14"/>
        <v>CANCELLED</v>
      </c>
    </row>
    <row r="305">
      <c r="A305" s="1" t="s">
        <v>958</v>
      </c>
      <c r="B305" s="2">
        <f t="shared" si="1"/>
        <v>46282</v>
      </c>
      <c r="C305" s="1" t="s">
        <v>959</v>
      </c>
      <c r="D305" s="3" t="str">
        <f t="shared" si="2"/>
        <v>SUJI</v>
      </c>
      <c r="E305" s="3" t="str">
        <f t="shared" si="3"/>
        <v>ANDHRA PRADESH</v>
      </c>
      <c r="F305" s="3" t="str">
        <f t="shared" si="4"/>
        <v>TIRUPATI</v>
      </c>
      <c r="G305" s="1" t="s">
        <v>960</v>
      </c>
      <c r="H305" s="3" t="str">
        <f t="shared" si="5"/>
        <v>BOOKS</v>
      </c>
      <c r="I305" s="3" t="str">
        <f t="shared" si="6"/>
        <v>LIFE OF PI</v>
      </c>
      <c r="J305" s="3">
        <f t="shared" si="7"/>
        <v>2</v>
      </c>
      <c r="K305" s="3">
        <f t="shared" si="8"/>
        <v>407</v>
      </c>
      <c r="L305" s="4">
        <f t="shared" si="9"/>
        <v>0.2</v>
      </c>
      <c r="M305" s="3">
        <f t="shared" si="10"/>
        <v>651.2</v>
      </c>
      <c r="N305" s="3">
        <f t="shared" si="11"/>
        <v>456</v>
      </c>
      <c r="O305" s="3">
        <f t="shared" si="12"/>
        <v>195</v>
      </c>
      <c r="P305" s="3" t="str">
        <f t="shared" si="13"/>
        <v>NET BANKING</v>
      </c>
      <c r="Q305" s="3" t="str">
        <f t="shared" si="14"/>
        <v>RETURNED</v>
      </c>
    </row>
    <row r="306">
      <c r="A306" s="1" t="s">
        <v>961</v>
      </c>
      <c r="B306" s="2">
        <f t="shared" si="1"/>
        <v>46352</v>
      </c>
      <c r="C306" s="1" t="s">
        <v>962</v>
      </c>
      <c r="D306" s="3" t="str">
        <f t="shared" si="2"/>
        <v>RATHA</v>
      </c>
      <c r="E306" s="3" t="str">
        <f t="shared" si="3"/>
        <v>TELUGANA</v>
      </c>
      <c r="F306" s="3" t="str">
        <f t="shared" si="4"/>
        <v>HYDERABAD</v>
      </c>
      <c r="G306" s="1" t="s">
        <v>963</v>
      </c>
      <c r="H306" s="3" t="str">
        <f t="shared" si="5"/>
        <v>ACCESSORIES</v>
      </c>
      <c r="I306" s="3" t="str">
        <f t="shared" si="6"/>
        <v>EARRINGS</v>
      </c>
      <c r="J306" s="3">
        <f t="shared" si="7"/>
        <v>5</v>
      </c>
      <c r="K306" s="3">
        <f t="shared" si="8"/>
        <v>493</v>
      </c>
      <c r="L306" s="4">
        <f t="shared" si="9"/>
        <v>0.17</v>
      </c>
      <c r="M306" s="3">
        <f t="shared" si="10"/>
        <v>2045.95</v>
      </c>
      <c r="N306" s="3">
        <f t="shared" si="11"/>
        <v>1432</v>
      </c>
      <c r="O306" s="3">
        <f t="shared" si="12"/>
        <v>614</v>
      </c>
      <c r="P306" s="3" t="str">
        <f t="shared" si="13"/>
        <v>WALLET</v>
      </c>
      <c r="Q306" s="3" t="str">
        <f t="shared" si="14"/>
        <v>DELIVERED</v>
      </c>
    </row>
    <row r="307">
      <c r="A307" s="1" t="s">
        <v>964</v>
      </c>
      <c r="B307" s="2">
        <f t="shared" si="1"/>
        <v>46132</v>
      </c>
      <c r="C307" s="1" t="s">
        <v>965</v>
      </c>
      <c r="D307" s="3" t="str">
        <f t="shared" si="2"/>
        <v>SUSA</v>
      </c>
      <c r="E307" s="3" t="str">
        <f t="shared" si="3"/>
        <v>UTTHRA PRADESH</v>
      </c>
      <c r="F307" s="3" t="str">
        <f t="shared" si="4"/>
        <v>LUCKNOW</v>
      </c>
      <c r="G307" s="1" t="s">
        <v>966</v>
      </c>
      <c r="H307" s="3" t="str">
        <f t="shared" si="5"/>
        <v>ELECTRONICS</v>
      </c>
      <c r="I307" s="3" t="str">
        <f t="shared" si="6"/>
        <v>WIRELESS EARBUDS</v>
      </c>
      <c r="J307" s="3">
        <f t="shared" si="7"/>
        <v>5</v>
      </c>
      <c r="K307" s="3">
        <f t="shared" si="8"/>
        <v>199</v>
      </c>
      <c r="L307" s="4">
        <f t="shared" si="9"/>
        <v>0.17</v>
      </c>
      <c r="M307" s="3">
        <f t="shared" si="10"/>
        <v>825.85</v>
      </c>
      <c r="N307" s="3">
        <f t="shared" si="11"/>
        <v>578</v>
      </c>
      <c r="O307" s="3">
        <f t="shared" si="12"/>
        <v>248</v>
      </c>
      <c r="P307" s="3" t="str">
        <f t="shared" si="13"/>
        <v>UPI</v>
      </c>
      <c r="Q307" s="3" t="str">
        <f t="shared" si="14"/>
        <v>SHIPPED</v>
      </c>
    </row>
    <row r="308">
      <c r="A308" s="1" t="s">
        <v>967</v>
      </c>
      <c r="B308" s="2">
        <f t="shared" si="1"/>
        <v>46341</v>
      </c>
      <c r="C308" s="1" t="s">
        <v>968</v>
      </c>
      <c r="D308" s="3" t="str">
        <f t="shared" si="2"/>
        <v>NIVE</v>
      </c>
      <c r="E308" s="3" t="str">
        <f t="shared" si="3"/>
        <v>GUJARAT</v>
      </c>
      <c r="F308" s="3" t="str">
        <f t="shared" si="4"/>
        <v>SURAT</v>
      </c>
      <c r="G308" s="1" t="s">
        <v>969</v>
      </c>
      <c r="H308" s="3" t="str">
        <f t="shared" si="5"/>
        <v>SPORTS</v>
      </c>
      <c r="I308" s="3" t="str">
        <f t="shared" si="6"/>
        <v>FOOTBALL</v>
      </c>
      <c r="J308" s="3">
        <f t="shared" si="7"/>
        <v>5</v>
      </c>
      <c r="K308" s="3">
        <f t="shared" si="8"/>
        <v>143</v>
      </c>
      <c r="L308" s="4">
        <f t="shared" si="9"/>
        <v>0.1</v>
      </c>
      <c r="M308" s="3">
        <f t="shared" si="10"/>
        <v>643.5</v>
      </c>
      <c r="N308" s="3">
        <f t="shared" si="11"/>
        <v>450</v>
      </c>
      <c r="O308" s="3">
        <f t="shared" si="12"/>
        <v>194</v>
      </c>
      <c r="P308" s="3" t="str">
        <f t="shared" si="13"/>
        <v>CARD</v>
      </c>
      <c r="Q308" s="3" t="str">
        <f t="shared" si="14"/>
        <v>CANCELLED</v>
      </c>
    </row>
    <row r="309">
      <c r="A309" s="1" t="s">
        <v>970</v>
      </c>
      <c r="B309" s="2">
        <f t="shared" si="1"/>
        <v>46068</v>
      </c>
      <c r="C309" s="1" t="s">
        <v>971</v>
      </c>
      <c r="D309" s="3" t="str">
        <f t="shared" si="2"/>
        <v>VINO</v>
      </c>
      <c r="E309" s="3" t="str">
        <f t="shared" si="3"/>
        <v>RAJASTHAN</v>
      </c>
      <c r="F309" s="3" t="str">
        <f t="shared" si="4"/>
        <v>JAIPUR</v>
      </c>
      <c r="G309" s="1" t="s">
        <v>972</v>
      </c>
      <c r="H309" s="3" t="str">
        <f t="shared" si="5"/>
        <v>FOOD</v>
      </c>
      <c r="I309" s="3" t="str">
        <f t="shared" si="6"/>
        <v>BIRIYANI</v>
      </c>
      <c r="J309" s="3">
        <f t="shared" si="7"/>
        <v>5</v>
      </c>
      <c r="K309" s="3">
        <f t="shared" si="8"/>
        <v>507</v>
      </c>
      <c r="L309" s="4">
        <f t="shared" si="9"/>
        <v>0.17</v>
      </c>
      <c r="M309" s="3">
        <f t="shared" si="10"/>
        <v>2104.05</v>
      </c>
      <c r="N309" s="3">
        <f t="shared" si="11"/>
        <v>1473</v>
      </c>
      <c r="O309" s="3">
        <f t="shared" si="12"/>
        <v>631</v>
      </c>
      <c r="P309" s="3" t="str">
        <f t="shared" si="13"/>
        <v>COD</v>
      </c>
      <c r="Q309" s="3" t="str">
        <f t="shared" si="14"/>
        <v>RETURNED</v>
      </c>
    </row>
    <row r="310">
      <c r="A310" s="1" t="s">
        <v>973</v>
      </c>
      <c r="B310" s="2">
        <f t="shared" si="1"/>
        <v>46319</v>
      </c>
      <c r="C310" s="1" t="s">
        <v>974</v>
      </c>
      <c r="D310" s="3" t="str">
        <f t="shared" si="2"/>
        <v>ABI</v>
      </c>
      <c r="E310" s="3" t="str">
        <f t="shared" si="3"/>
        <v>WEST BENGAL</v>
      </c>
      <c r="F310" s="3" t="str">
        <f t="shared" si="4"/>
        <v>KOLKATA</v>
      </c>
      <c r="G310" s="1" t="s">
        <v>975</v>
      </c>
      <c r="H310" s="3" t="str">
        <f t="shared" si="5"/>
        <v>DRESS</v>
      </c>
      <c r="I310" s="3" t="str">
        <f t="shared" si="6"/>
        <v>WOMEN WAERS</v>
      </c>
      <c r="J310" s="3">
        <f t="shared" si="7"/>
        <v>1</v>
      </c>
      <c r="K310" s="3">
        <f t="shared" si="8"/>
        <v>326</v>
      </c>
      <c r="L310" s="4">
        <f t="shared" si="9"/>
        <v>0</v>
      </c>
      <c r="M310" s="3">
        <f t="shared" si="10"/>
        <v>326</v>
      </c>
      <c r="N310" s="3">
        <f t="shared" si="11"/>
        <v>228</v>
      </c>
      <c r="O310" s="3">
        <f t="shared" si="12"/>
        <v>98</v>
      </c>
      <c r="P310" s="3" t="str">
        <f t="shared" si="13"/>
        <v>NET BANKING</v>
      </c>
      <c r="Q310" s="3" t="str">
        <f t="shared" si="14"/>
        <v>DELIVERED</v>
      </c>
    </row>
    <row r="311">
      <c r="A311" s="1" t="s">
        <v>976</v>
      </c>
      <c r="B311" s="2">
        <f t="shared" si="1"/>
        <v>46225</v>
      </c>
      <c r="C311" s="1" t="s">
        <v>977</v>
      </c>
      <c r="D311" s="3" t="str">
        <f t="shared" si="2"/>
        <v>NIHAAR</v>
      </c>
      <c r="E311" s="3" t="str">
        <f t="shared" si="3"/>
        <v>MAGARASTRA</v>
      </c>
      <c r="F311" s="3" t="str">
        <f t="shared" si="4"/>
        <v>PUNE</v>
      </c>
      <c r="G311" s="1" t="s">
        <v>978</v>
      </c>
      <c r="H311" s="3" t="str">
        <f t="shared" si="5"/>
        <v>BEAUTY</v>
      </c>
      <c r="I311" s="3" t="str">
        <f t="shared" si="6"/>
        <v>KAJAL</v>
      </c>
      <c r="J311" s="3">
        <f t="shared" si="7"/>
        <v>5</v>
      </c>
      <c r="K311" s="3">
        <f t="shared" si="8"/>
        <v>545</v>
      </c>
      <c r="L311" s="4">
        <f t="shared" si="9"/>
        <v>0.2</v>
      </c>
      <c r="M311" s="3">
        <f t="shared" si="10"/>
        <v>2180</v>
      </c>
      <c r="N311" s="3">
        <f t="shared" si="11"/>
        <v>1526</v>
      </c>
      <c r="O311" s="3">
        <f t="shared" si="12"/>
        <v>654</v>
      </c>
      <c r="P311" s="3" t="str">
        <f t="shared" si="13"/>
        <v>WALLET</v>
      </c>
      <c r="Q311" s="3" t="str">
        <f t="shared" si="14"/>
        <v>SHIPPED</v>
      </c>
    </row>
    <row r="312">
      <c r="A312" s="1" t="s">
        <v>979</v>
      </c>
      <c r="B312" s="2">
        <f t="shared" si="1"/>
        <v>46079</v>
      </c>
      <c r="C312" s="1" t="s">
        <v>980</v>
      </c>
      <c r="D312" s="3" t="str">
        <f t="shared" si="2"/>
        <v>SRI</v>
      </c>
      <c r="E312" s="3" t="str">
        <f t="shared" si="3"/>
        <v>TAMILNADU</v>
      </c>
      <c r="F312" s="3" t="str">
        <f t="shared" si="4"/>
        <v>THOOTHUKUDI</v>
      </c>
      <c r="G312" s="1" t="s">
        <v>981</v>
      </c>
      <c r="H312" s="3" t="str">
        <f t="shared" si="5"/>
        <v>HOME &amp; KITCHEN</v>
      </c>
      <c r="I312" s="3" t="str">
        <f t="shared" si="6"/>
        <v>MIXER GRAINDER</v>
      </c>
      <c r="J312" s="3">
        <f t="shared" si="7"/>
        <v>2</v>
      </c>
      <c r="K312" s="3">
        <f t="shared" si="8"/>
        <v>418</v>
      </c>
      <c r="L312" s="4">
        <f t="shared" si="9"/>
        <v>0.1</v>
      </c>
      <c r="M312" s="3">
        <f t="shared" si="10"/>
        <v>752.4</v>
      </c>
      <c r="N312" s="3">
        <f t="shared" si="11"/>
        <v>527</v>
      </c>
      <c r="O312" s="3">
        <f t="shared" si="12"/>
        <v>225</v>
      </c>
      <c r="P312" s="3" t="str">
        <f t="shared" si="13"/>
        <v>UPI</v>
      </c>
      <c r="Q312" s="3" t="str">
        <f t="shared" si="14"/>
        <v>CANCELLED</v>
      </c>
    </row>
    <row r="313">
      <c r="A313" s="1" t="s">
        <v>982</v>
      </c>
      <c r="B313" s="2">
        <f t="shared" si="1"/>
        <v>46037</v>
      </c>
      <c r="C313" s="1" t="s">
        <v>983</v>
      </c>
      <c r="D313" s="3" t="str">
        <f t="shared" si="2"/>
        <v>SHOBN</v>
      </c>
      <c r="E313" s="3" t="str">
        <f t="shared" si="3"/>
        <v>KERALA</v>
      </c>
      <c r="F313" s="3" t="str">
        <f t="shared" si="4"/>
        <v>KOCHI</v>
      </c>
      <c r="G313" s="1" t="s">
        <v>984</v>
      </c>
      <c r="H313" s="3" t="str">
        <f t="shared" si="5"/>
        <v>BOOKS</v>
      </c>
      <c r="I313" s="3" t="str">
        <f t="shared" si="6"/>
        <v>LIFE OF PI</v>
      </c>
      <c r="J313" s="3">
        <f t="shared" si="7"/>
        <v>3</v>
      </c>
      <c r="K313" s="3">
        <f t="shared" si="8"/>
        <v>321</v>
      </c>
      <c r="L313" s="4">
        <f t="shared" si="9"/>
        <v>0.17</v>
      </c>
      <c r="M313" s="3">
        <f t="shared" si="10"/>
        <v>799.29</v>
      </c>
      <c r="N313" s="3">
        <f t="shared" si="11"/>
        <v>560</v>
      </c>
      <c r="O313" s="3">
        <f t="shared" si="12"/>
        <v>239</v>
      </c>
      <c r="P313" s="3" t="str">
        <f t="shared" si="13"/>
        <v>CARD</v>
      </c>
      <c r="Q313" s="3" t="str">
        <f t="shared" si="14"/>
        <v>RETURNED</v>
      </c>
    </row>
    <row r="314">
      <c r="A314" s="1" t="s">
        <v>985</v>
      </c>
      <c r="B314" s="2">
        <f t="shared" si="1"/>
        <v>46231</v>
      </c>
      <c r="C314" s="1" t="s">
        <v>986</v>
      </c>
      <c r="D314" s="3" t="str">
        <f t="shared" si="2"/>
        <v>SOBI</v>
      </c>
      <c r="E314" s="3" t="str">
        <f t="shared" si="3"/>
        <v>KARNATAKA</v>
      </c>
      <c r="F314" s="3" t="str">
        <f t="shared" si="4"/>
        <v>BANGALURU</v>
      </c>
      <c r="G314" s="1" t="s">
        <v>987</v>
      </c>
      <c r="H314" s="3" t="str">
        <f t="shared" si="5"/>
        <v>ACCESSORIES</v>
      </c>
      <c r="I314" s="3" t="str">
        <f t="shared" si="6"/>
        <v>EARRINGS</v>
      </c>
      <c r="J314" s="3">
        <f t="shared" si="7"/>
        <v>5</v>
      </c>
      <c r="K314" s="3">
        <f t="shared" si="8"/>
        <v>159</v>
      </c>
      <c r="L314" s="4">
        <f t="shared" si="9"/>
        <v>0.1</v>
      </c>
      <c r="M314" s="3">
        <f t="shared" si="10"/>
        <v>715.5</v>
      </c>
      <c r="N314" s="3">
        <f t="shared" si="11"/>
        <v>501</v>
      </c>
      <c r="O314" s="3">
        <f t="shared" si="12"/>
        <v>215</v>
      </c>
      <c r="P314" s="3" t="str">
        <f t="shared" si="13"/>
        <v>COD</v>
      </c>
      <c r="Q314" s="3" t="str">
        <f t="shared" si="14"/>
        <v>DELIVERED</v>
      </c>
    </row>
    <row r="315">
      <c r="A315" s="1" t="s">
        <v>988</v>
      </c>
      <c r="B315" s="2">
        <f t="shared" si="1"/>
        <v>46123</v>
      </c>
      <c r="C315" s="1" t="s">
        <v>989</v>
      </c>
      <c r="D315" s="3" t="str">
        <f t="shared" si="2"/>
        <v>SUJI</v>
      </c>
      <c r="E315" s="3" t="str">
        <f t="shared" si="3"/>
        <v>ANDHRA PRADESH</v>
      </c>
      <c r="F315" s="3" t="str">
        <f t="shared" si="4"/>
        <v>TIRUPATI</v>
      </c>
      <c r="G315" s="1" t="s">
        <v>990</v>
      </c>
      <c r="H315" s="3" t="str">
        <f t="shared" si="5"/>
        <v>ELECTRONICS</v>
      </c>
      <c r="I315" s="3" t="str">
        <f t="shared" si="6"/>
        <v>WIRELESS EARBUDS</v>
      </c>
      <c r="J315" s="3">
        <f t="shared" si="7"/>
        <v>2</v>
      </c>
      <c r="K315" s="3">
        <f t="shared" si="8"/>
        <v>246</v>
      </c>
      <c r="L315" s="4">
        <f t="shared" si="9"/>
        <v>0.5</v>
      </c>
      <c r="M315" s="3">
        <f t="shared" si="10"/>
        <v>246</v>
      </c>
      <c r="N315" s="3">
        <f t="shared" si="11"/>
        <v>172</v>
      </c>
      <c r="O315" s="3">
        <f t="shared" si="12"/>
        <v>74</v>
      </c>
      <c r="P315" s="3" t="str">
        <f t="shared" si="13"/>
        <v>NET BANKING</v>
      </c>
      <c r="Q315" s="3" t="str">
        <f t="shared" si="14"/>
        <v>SHIPPED</v>
      </c>
    </row>
    <row r="316">
      <c r="A316" s="1" t="s">
        <v>991</v>
      </c>
      <c r="B316" s="2">
        <f t="shared" si="1"/>
        <v>46027</v>
      </c>
      <c r="C316" s="1" t="s">
        <v>992</v>
      </c>
      <c r="D316" s="3" t="str">
        <f t="shared" si="2"/>
        <v>RATHA</v>
      </c>
      <c r="E316" s="3" t="str">
        <f t="shared" si="3"/>
        <v>TELUGANA</v>
      </c>
      <c r="F316" s="3" t="str">
        <f t="shared" si="4"/>
        <v>HYDERABAD</v>
      </c>
      <c r="G316" s="1" t="s">
        <v>993</v>
      </c>
      <c r="H316" s="3" t="str">
        <f t="shared" si="5"/>
        <v>SPORTS</v>
      </c>
      <c r="I316" s="3" t="str">
        <f t="shared" si="6"/>
        <v>FOOTBALL</v>
      </c>
      <c r="J316" s="3">
        <f t="shared" si="7"/>
        <v>1</v>
      </c>
      <c r="K316" s="3">
        <f t="shared" si="8"/>
        <v>449</v>
      </c>
      <c r="L316" s="4">
        <f t="shared" si="9"/>
        <v>0.15</v>
      </c>
      <c r="M316" s="3">
        <f t="shared" si="10"/>
        <v>381.65</v>
      </c>
      <c r="N316" s="3">
        <f t="shared" si="11"/>
        <v>267</v>
      </c>
      <c r="O316" s="3">
        <f t="shared" si="12"/>
        <v>115</v>
      </c>
      <c r="P316" s="3" t="str">
        <f t="shared" si="13"/>
        <v>WALLET</v>
      </c>
      <c r="Q316" s="3" t="str">
        <f t="shared" si="14"/>
        <v>CANCELLED</v>
      </c>
    </row>
    <row r="317">
      <c r="A317" s="1" t="s">
        <v>994</v>
      </c>
      <c r="B317" s="2">
        <f t="shared" si="1"/>
        <v>46258</v>
      </c>
      <c r="C317" s="1" t="s">
        <v>995</v>
      </c>
      <c r="D317" s="3" t="str">
        <f t="shared" si="2"/>
        <v>SUSA</v>
      </c>
      <c r="E317" s="3" t="str">
        <f t="shared" si="3"/>
        <v>UTTHRA PRADESH</v>
      </c>
      <c r="F317" s="3" t="str">
        <f t="shared" si="4"/>
        <v>LUCKNOW</v>
      </c>
      <c r="G317" s="1" t="s">
        <v>996</v>
      </c>
      <c r="H317" s="3" t="str">
        <f t="shared" si="5"/>
        <v>FOOD</v>
      </c>
      <c r="I317" s="3" t="str">
        <f t="shared" si="6"/>
        <v>BIRIYANI</v>
      </c>
      <c r="J317" s="3">
        <f t="shared" si="7"/>
        <v>4</v>
      </c>
      <c r="K317" s="3">
        <f t="shared" si="8"/>
        <v>470</v>
      </c>
      <c r="L317" s="4">
        <f t="shared" si="9"/>
        <v>0.2</v>
      </c>
      <c r="M317" s="3">
        <f t="shared" si="10"/>
        <v>1504</v>
      </c>
      <c r="N317" s="3">
        <f t="shared" si="11"/>
        <v>1053</v>
      </c>
      <c r="O317" s="3">
        <f t="shared" si="12"/>
        <v>451</v>
      </c>
      <c r="P317" s="3" t="str">
        <f t="shared" si="13"/>
        <v>UPI</v>
      </c>
      <c r="Q317" s="3" t="str">
        <f t="shared" si="14"/>
        <v>RETURNED</v>
      </c>
    </row>
    <row r="318">
      <c r="A318" s="1" t="s">
        <v>997</v>
      </c>
      <c r="B318" s="2">
        <f t="shared" si="1"/>
        <v>46164</v>
      </c>
      <c r="C318" s="1" t="s">
        <v>998</v>
      </c>
      <c r="D318" s="3" t="str">
        <f t="shared" si="2"/>
        <v>NIVE</v>
      </c>
      <c r="E318" s="3" t="str">
        <f t="shared" si="3"/>
        <v>GUJARAT</v>
      </c>
      <c r="F318" s="3" t="str">
        <f t="shared" si="4"/>
        <v>SURAT</v>
      </c>
      <c r="G318" s="1" t="s">
        <v>999</v>
      </c>
      <c r="H318" s="3" t="str">
        <f t="shared" si="5"/>
        <v>DRESS</v>
      </c>
      <c r="I318" s="3" t="str">
        <f t="shared" si="6"/>
        <v>WOMEN WAERS</v>
      </c>
      <c r="J318" s="3">
        <f t="shared" si="7"/>
        <v>1</v>
      </c>
      <c r="K318" s="3">
        <f t="shared" si="8"/>
        <v>428</v>
      </c>
      <c r="L318" s="4">
        <f t="shared" si="9"/>
        <v>0.1</v>
      </c>
      <c r="M318" s="3">
        <f t="shared" si="10"/>
        <v>385.2</v>
      </c>
      <c r="N318" s="3">
        <f t="shared" si="11"/>
        <v>270</v>
      </c>
      <c r="O318" s="3">
        <f t="shared" si="12"/>
        <v>115</v>
      </c>
      <c r="P318" s="3" t="str">
        <f t="shared" si="13"/>
        <v>CARD</v>
      </c>
      <c r="Q318" s="3" t="str">
        <f t="shared" si="14"/>
        <v>DELIVERED</v>
      </c>
    </row>
    <row r="319">
      <c r="A319" s="1" t="s">
        <v>1000</v>
      </c>
      <c r="B319" s="2">
        <f t="shared" si="1"/>
        <v>46299</v>
      </c>
      <c r="C319" s="1" t="s">
        <v>1001</v>
      </c>
      <c r="D319" s="3" t="str">
        <f t="shared" si="2"/>
        <v>VINO</v>
      </c>
      <c r="E319" s="3" t="str">
        <f t="shared" si="3"/>
        <v>RAJASTHAN</v>
      </c>
      <c r="F319" s="3" t="str">
        <f t="shared" si="4"/>
        <v>JAIPUR</v>
      </c>
      <c r="G319" s="1" t="s">
        <v>1002</v>
      </c>
      <c r="H319" s="3" t="str">
        <f t="shared" si="5"/>
        <v>BEAUTY</v>
      </c>
      <c r="I319" s="3" t="str">
        <f t="shared" si="6"/>
        <v>KAJAL</v>
      </c>
      <c r="J319" s="3">
        <f t="shared" si="7"/>
        <v>5</v>
      </c>
      <c r="K319" s="3">
        <f t="shared" si="8"/>
        <v>159</v>
      </c>
      <c r="L319" s="4">
        <f t="shared" si="9"/>
        <v>0.2</v>
      </c>
      <c r="M319" s="3">
        <f t="shared" si="10"/>
        <v>636</v>
      </c>
      <c r="N319" s="3">
        <f t="shared" si="11"/>
        <v>445</v>
      </c>
      <c r="O319" s="3">
        <f t="shared" si="12"/>
        <v>191</v>
      </c>
      <c r="P319" s="3" t="str">
        <f t="shared" si="13"/>
        <v>COD</v>
      </c>
      <c r="Q319" s="3" t="str">
        <f t="shared" si="14"/>
        <v>SHIPPED</v>
      </c>
    </row>
    <row r="320">
      <c r="A320" s="1" t="s">
        <v>1003</v>
      </c>
      <c r="B320" s="2">
        <f t="shared" si="1"/>
        <v>46370</v>
      </c>
      <c r="C320" s="1" t="s">
        <v>1004</v>
      </c>
      <c r="D320" s="3" t="str">
        <f t="shared" si="2"/>
        <v>ABI</v>
      </c>
      <c r="E320" s="3" t="str">
        <f t="shared" si="3"/>
        <v>WEST BENGAL</v>
      </c>
      <c r="F320" s="3" t="str">
        <f t="shared" si="4"/>
        <v>KOLKATA</v>
      </c>
      <c r="G320" s="1" t="s">
        <v>1005</v>
      </c>
      <c r="H320" s="3" t="str">
        <f t="shared" si="5"/>
        <v>HOME &amp; KITCHEN</v>
      </c>
      <c r="I320" s="3" t="str">
        <f t="shared" si="6"/>
        <v>MIXER GRAINDER</v>
      </c>
      <c r="J320" s="3">
        <f t="shared" si="7"/>
        <v>5</v>
      </c>
      <c r="K320" s="3">
        <f t="shared" si="8"/>
        <v>592</v>
      </c>
      <c r="L320" s="4">
        <f t="shared" si="9"/>
        <v>0.2</v>
      </c>
      <c r="M320" s="3">
        <f t="shared" si="10"/>
        <v>2368</v>
      </c>
      <c r="N320" s="3">
        <f t="shared" si="11"/>
        <v>1658</v>
      </c>
      <c r="O320" s="3">
        <f t="shared" si="12"/>
        <v>710</v>
      </c>
      <c r="P320" s="3" t="str">
        <f t="shared" si="13"/>
        <v>NET BANKING</v>
      </c>
      <c r="Q320" s="3" t="str">
        <f t="shared" si="14"/>
        <v>CANCELLED</v>
      </c>
    </row>
    <row r="321">
      <c r="A321" s="1" t="s">
        <v>1006</v>
      </c>
      <c r="B321" s="2">
        <f t="shared" si="1"/>
        <v>46383</v>
      </c>
      <c r="C321" s="1" t="s">
        <v>1007</v>
      </c>
      <c r="D321" s="3" t="str">
        <f t="shared" si="2"/>
        <v>NIHAAR</v>
      </c>
      <c r="E321" s="3" t="str">
        <f t="shared" si="3"/>
        <v>MAGARASTRA</v>
      </c>
      <c r="F321" s="3" t="str">
        <f t="shared" si="4"/>
        <v>PUNE</v>
      </c>
      <c r="G321" s="1" t="s">
        <v>1008</v>
      </c>
      <c r="H321" s="3" t="str">
        <f t="shared" si="5"/>
        <v>BOOKS</v>
      </c>
      <c r="I321" s="3" t="str">
        <f t="shared" si="6"/>
        <v>LIFE OF PI</v>
      </c>
      <c r="J321" s="3">
        <f t="shared" si="7"/>
        <v>4</v>
      </c>
      <c r="K321" s="3">
        <f t="shared" si="8"/>
        <v>232</v>
      </c>
      <c r="L321" s="4">
        <f t="shared" si="9"/>
        <v>0</v>
      </c>
      <c r="M321" s="3">
        <f t="shared" si="10"/>
        <v>928</v>
      </c>
      <c r="N321" s="3">
        <f t="shared" si="11"/>
        <v>650</v>
      </c>
      <c r="O321" s="3">
        <f t="shared" si="12"/>
        <v>278</v>
      </c>
      <c r="P321" s="3" t="str">
        <f t="shared" si="13"/>
        <v>WALLET</v>
      </c>
      <c r="Q321" s="3" t="str">
        <f t="shared" si="14"/>
        <v>RETURNED</v>
      </c>
    </row>
    <row r="322">
      <c r="A322" s="1" t="s">
        <v>1009</v>
      </c>
      <c r="B322" s="2">
        <f t="shared" si="1"/>
        <v>46354</v>
      </c>
      <c r="C322" s="1" t="s">
        <v>1010</v>
      </c>
      <c r="D322" s="3" t="str">
        <f t="shared" si="2"/>
        <v>SRI</v>
      </c>
      <c r="E322" s="3" t="str">
        <f t="shared" si="3"/>
        <v>TAMILNADU</v>
      </c>
      <c r="F322" s="3" t="str">
        <f t="shared" si="4"/>
        <v>THOOTHUKUDI</v>
      </c>
      <c r="G322" s="1" t="s">
        <v>1011</v>
      </c>
      <c r="H322" s="3" t="str">
        <f t="shared" si="5"/>
        <v>ACCESSORIES</v>
      </c>
      <c r="I322" s="3" t="str">
        <f t="shared" si="6"/>
        <v>EARRINGS</v>
      </c>
      <c r="J322" s="3">
        <f t="shared" si="7"/>
        <v>4</v>
      </c>
      <c r="K322" s="3">
        <f t="shared" si="8"/>
        <v>460</v>
      </c>
      <c r="L322" s="4">
        <f t="shared" si="9"/>
        <v>0</v>
      </c>
      <c r="M322" s="3">
        <f t="shared" si="10"/>
        <v>1840</v>
      </c>
      <c r="N322" s="3">
        <f t="shared" si="11"/>
        <v>1288</v>
      </c>
      <c r="O322" s="3">
        <f t="shared" si="12"/>
        <v>552</v>
      </c>
      <c r="P322" s="3" t="str">
        <f t="shared" si="13"/>
        <v>UPI</v>
      </c>
      <c r="Q322" s="3" t="str">
        <f t="shared" si="14"/>
        <v>DELIVERED</v>
      </c>
    </row>
    <row r="323">
      <c r="A323" s="1" t="s">
        <v>1012</v>
      </c>
      <c r="B323" s="2">
        <f t="shared" si="1"/>
        <v>46284</v>
      </c>
      <c r="C323" s="1" t="s">
        <v>1013</v>
      </c>
      <c r="D323" s="3" t="str">
        <f t="shared" si="2"/>
        <v>SHOBN</v>
      </c>
      <c r="E323" s="3" t="str">
        <f t="shared" si="3"/>
        <v>KERALA</v>
      </c>
      <c r="F323" s="3" t="str">
        <f t="shared" si="4"/>
        <v>KOCHI</v>
      </c>
      <c r="G323" s="1" t="s">
        <v>1014</v>
      </c>
      <c r="H323" s="3" t="str">
        <f t="shared" si="5"/>
        <v>ELECTRONICS</v>
      </c>
      <c r="I323" s="3" t="str">
        <f t="shared" si="6"/>
        <v>WIRELESS EARBUDS</v>
      </c>
      <c r="J323" s="3">
        <f t="shared" si="7"/>
        <v>1</v>
      </c>
      <c r="K323" s="3">
        <f t="shared" si="8"/>
        <v>520</v>
      </c>
      <c r="L323" s="4">
        <f t="shared" si="9"/>
        <v>0.1</v>
      </c>
      <c r="M323" s="3">
        <f t="shared" si="10"/>
        <v>468</v>
      </c>
      <c r="N323" s="3">
        <f t="shared" si="11"/>
        <v>328</v>
      </c>
      <c r="O323" s="3">
        <f t="shared" si="12"/>
        <v>140</v>
      </c>
      <c r="P323" s="3" t="str">
        <f t="shared" si="13"/>
        <v>CARD</v>
      </c>
      <c r="Q323" s="3" t="str">
        <f t="shared" si="14"/>
        <v>SHIPPED</v>
      </c>
    </row>
    <row r="324">
      <c r="A324" s="1" t="s">
        <v>1015</v>
      </c>
      <c r="B324" s="2">
        <f t="shared" si="1"/>
        <v>46110</v>
      </c>
      <c r="C324" s="1" t="s">
        <v>1016</v>
      </c>
      <c r="D324" s="3" t="str">
        <f t="shared" si="2"/>
        <v>SOBI</v>
      </c>
      <c r="E324" s="3" t="str">
        <f t="shared" si="3"/>
        <v>KARNATAKA</v>
      </c>
      <c r="F324" s="3" t="str">
        <f t="shared" si="4"/>
        <v>BANGALURU</v>
      </c>
      <c r="G324" s="1" t="s">
        <v>1017</v>
      </c>
      <c r="H324" s="3" t="str">
        <f t="shared" si="5"/>
        <v>SPORTS</v>
      </c>
      <c r="I324" s="3" t="str">
        <f t="shared" si="6"/>
        <v>FOOTBALL</v>
      </c>
      <c r="J324" s="3">
        <f t="shared" si="7"/>
        <v>4</v>
      </c>
      <c r="K324" s="3">
        <f t="shared" si="8"/>
        <v>488</v>
      </c>
      <c r="L324" s="4">
        <f t="shared" si="9"/>
        <v>0.5</v>
      </c>
      <c r="M324" s="3">
        <f t="shared" si="10"/>
        <v>976</v>
      </c>
      <c r="N324" s="3">
        <f t="shared" si="11"/>
        <v>683</v>
      </c>
      <c r="O324" s="3">
        <f t="shared" si="12"/>
        <v>293</v>
      </c>
      <c r="P324" s="3" t="str">
        <f t="shared" si="13"/>
        <v>COD</v>
      </c>
      <c r="Q324" s="3" t="str">
        <f t="shared" si="14"/>
        <v>CANCELLED</v>
      </c>
    </row>
    <row r="325">
      <c r="A325" s="1" t="s">
        <v>1018</v>
      </c>
      <c r="B325" s="2">
        <f t="shared" si="1"/>
        <v>46267</v>
      </c>
      <c r="C325" s="1" t="s">
        <v>1019</v>
      </c>
      <c r="D325" s="3" t="str">
        <f t="shared" si="2"/>
        <v>SUJI</v>
      </c>
      <c r="E325" s="3" t="str">
        <f t="shared" si="3"/>
        <v>ANDHRA PRADESH</v>
      </c>
      <c r="F325" s="3" t="str">
        <f t="shared" si="4"/>
        <v>TIRUPATI</v>
      </c>
      <c r="G325" s="1" t="s">
        <v>1020</v>
      </c>
      <c r="H325" s="3" t="str">
        <f t="shared" si="5"/>
        <v>FOOD</v>
      </c>
      <c r="I325" s="3" t="str">
        <f t="shared" si="6"/>
        <v>BIRIYANI</v>
      </c>
      <c r="J325" s="3">
        <f t="shared" si="7"/>
        <v>2</v>
      </c>
      <c r="K325" s="3">
        <f t="shared" si="8"/>
        <v>428</v>
      </c>
      <c r="L325" s="4">
        <f t="shared" si="9"/>
        <v>0.15</v>
      </c>
      <c r="M325" s="3">
        <f t="shared" si="10"/>
        <v>727.6</v>
      </c>
      <c r="N325" s="3">
        <f t="shared" si="11"/>
        <v>509</v>
      </c>
      <c r="O325" s="3">
        <f t="shared" si="12"/>
        <v>219</v>
      </c>
      <c r="P325" s="3" t="str">
        <f t="shared" si="13"/>
        <v>NET BANKING</v>
      </c>
      <c r="Q325" s="3" t="str">
        <f t="shared" si="14"/>
        <v>RETURNED</v>
      </c>
    </row>
    <row r="326">
      <c r="A326" s="1" t="s">
        <v>1021</v>
      </c>
      <c r="B326" s="2">
        <f t="shared" si="1"/>
        <v>46068</v>
      </c>
      <c r="C326" s="1" t="s">
        <v>1022</v>
      </c>
      <c r="D326" s="3" t="str">
        <f t="shared" si="2"/>
        <v>RATHA</v>
      </c>
      <c r="E326" s="3" t="str">
        <f t="shared" si="3"/>
        <v>TELUGANA</v>
      </c>
      <c r="F326" s="3" t="str">
        <f t="shared" si="4"/>
        <v>HYDERABAD</v>
      </c>
      <c r="G326" s="1" t="s">
        <v>1023</v>
      </c>
      <c r="H326" s="3" t="str">
        <f t="shared" si="5"/>
        <v>DRESS</v>
      </c>
      <c r="I326" s="3" t="str">
        <f t="shared" si="6"/>
        <v>WOMEN WAERS</v>
      </c>
      <c r="J326" s="3">
        <f t="shared" si="7"/>
        <v>2</v>
      </c>
      <c r="K326" s="3">
        <f t="shared" si="8"/>
        <v>525</v>
      </c>
      <c r="L326" s="4">
        <f t="shared" si="9"/>
        <v>0.5</v>
      </c>
      <c r="M326" s="3">
        <f t="shared" si="10"/>
        <v>525</v>
      </c>
      <c r="N326" s="3">
        <f t="shared" si="11"/>
        <v>368</v>
      </c>
      <c r="O326" s="3">
        <f t="shared" si="12"/>
        <v>157</v>
      </c>
      <c r="P326" s="3" t="str">
        <f t="shared" si="13"/>
        <v>WALLET</v>
      </c>
      <c r="Q326" s="3" t="str">
        <f t="shared" si="14"/>
        <v>DELIVERED</v>
      </c>
    </row>
    <row r="327">
      <c r="A327" s="1" t="s">
        <v>1024</v>
      </c>
      <c r="B327" s="2">
        <f t="shared" si="1"/>
        <v>46123</v>
      </c>
      <c r="C327" s="1" t="s">
        <v>1025</v>
      </c>
      <c r="D327" s="3" t="str">
        <f t="shared" si="2"/>
        <v>SUSA</v>
      </c>
      <c r="E327" s="3" t="str">
        <f t="shared" si="3"/>
        <v>UTTHRA PRADESH</v>
      </c>
      <c r="F327" s="3" t="str">
        <f t="shared" si="4"/>
        <v>LUCKNOW</v>
      </c>
      <c r="G327" s="1" t="s">
        <v>1026</v>
      </c>
      <c r="H327" s="3" t="str">
        <f t="shared" si="5"/>
        <v>BEAUTY</v>
      </c>
      <c r="I327" s="3" t="str">
        <f t="shared" si="6"/>
        <v>KAJAL</v>
      </c>
      <c r="J327" s="3">
        <f t="shared" si="7"/>
        <v>2</v>
      </c>
      <c r="K327" s="3">
        <f t="shared" si="8"/>
        <v>223</v>
      </c>
      <c r="L327" s="4">
        <f t="shared" si="9"/>
        <v>0</v>
      </c>
      <c r="M327" s="3">
        <f t="shared" si="10"/>
        <v>446</v>
      </c>
      <c r="N327" s="3">
        <f t="shared" si="11"/>
        <v>312</v>
      </c>
      <c r="O327" s="3">
        <f t="shared" si="12"/>
        <v>134</v>
      </c>
      <c r="P327" s="3" t="str">
        <f t="shared" si="13"/>
        <v>UPI</v>
      </c>
      <c r="Q327" s="3" t="str">
        <f t="shared" si="14"/>
        <v>SHIPPED</v>
      </c>
    </row>
    <row r="328">
      <c r="A328" s="1" t="s">
        <v>1027</v>
      </c>
      <c r="B328" s="2">
        <f t="shared" si="1"/>
        <v>46099</v>
      </c>
      <c r="C328" s="1" t="s">
        <v>1028</v>
      </c>
      <c r="D328" s="3" t="str">
        <f t="shared" si="2"/>
        <v>NIVE</v>
      </c>
      <c r="E328" s="3" t="str">
        <f t="shared" si="3"/>
        <v>GUJARAT</v>
      </c>
      <c r="F328" s="3" t="str">
        <f t="shared" si="4"/>
        <v>SURAT</v>
      </c>
      <c r="G328" s="1" t="s">
        <v>1029</v>
      </c>
      <c r="H328" s="3" t="str">
        <f t="shared" si="5"/>
        <v>HOME &amp; KITCHEN</v>
      </c>
      <c r="I328" s="3" t="str">
        <f t="shared" si="6"/>
        <v>MIXER GRAINDER</v>
      </c>
      <c r="J328" s="3">
        <f t="shared" si="7"/>
        <v>1</v>
      </c>
      <c r="K328" s="3">
        <f t="shared" si="8"/>
        <v>579</v>
      </c>
      <c r="L328" s="4">
        <f t="shared" si="9"/>
        <v>0.5</v>
      </c>
      <c r="M328" s="3">
        <f t="shared" si="10"/>
        <v>289.5</v>
      </c>
      <c r="N328" s="3">
        <f t="shared" si="11"/>
        <v>203</v>
      </c>
      <c r="O328" s="3">
        <f t="shared" si="12"/>
        <v>87</v>
      </c>
      <c r="P328" s="3" t="str">
        <f t="shared" si="13"/>
        <v>CARD</v>
      </c>
      <c r="Q328" s="3" t="str">
        <f t="shared" si="14"/>
        <v>CANCELLED</v>
      </c>
    </row>
    <row r="329">
      <c r="A329" s="1" t="s">
        <v>1030</v>
      </c>
      <c r="B329" s="2">
        <f t="shared" si="1"/>
        <v>46195</v>
      </c>
      <c r="C329" s="1" t="s">
        <v>1031</v>
      </c>
      <c r="D329" s="3" t="str">
        <f t="shared" si="2"/>
        <v>VINO</v>
      </c>
      <c r="E329" s="3" t="str">
        <f t="shared" si="3"/>
        <v>RAJASTHAN</v>
      </c>
      <c r="F329" s="3" t="str">
        <f t="shared" si="4"/>
        <v>JAIPUR</v>
      </c>
      <c r="G329" s="1" t="s">
        <v>1032</v>
      </c>
      <c r="H329" s="3" t="str">
        <f t="shared" si="5"/>
        <v>BOOKS</v>
      </c>
      <c r="I329" s="3" t="str">
        <f t="shared" si="6"/>
        <v>LIFE OF PI</v>
      </c>
      <c r="J329" s="3">
        <f t="shared" si="7"/>
        <v>3</v>
      </c>
      <c r="K329" s="3">
        <f t="shared" si="8"/>
        <v>437</v>
      </c>
      <c r="L329" s="4">
        <f t="shared" si="9"/>
        <v>0.5</v>
      </c>
      <c r="M329" s="3">
        <f t="shared" si="10"/>
        <v>655.5</v>
      </c>
      <c r="N329" s="3">
        <f t="shared" si="11"/>
        <v>459</v>
      </c>
      <c r="O329" s="3">
        <f t="shared" si="12"/>
        <v>197</v>
      </c>
      <c r="P329" s="3" t="str">
        <f t="shared" si="13"/>
        <v>COD</v>
      </c>
      <c r="Q329" s="3" t="str">
        <f t="shared" si="14"/>
        <v>RETURNED</v>
      </c>
    </row>
    <row r="330">
      <c r="A330" s="1" t="s">
        <v>1033</v>
      </c>
      <c r="B330" s="2">
        <f t="shared" si="1"/>
        <v>46211</v>
      </c>
      <c r="C330" s="1" t="s">
        <v>1034</v>
      </c>
      <c r="D330" s="3" t="str">
        <f t="shared" si="2"/>
        <v>ABI</v>
      </c>
      <c r="E330" s="3" t="str">
        <f t="shared" si="3"/>
        <v>WEST BENGAL</v>
      </c>
      <c r="F330" s="3" t="str">
        <f t="shared" si="4"/>
        <v>KOLKATA</v>
      </c>
      <c r="G330" s="1" t="s">
        <v>1035</v>
      </c>
      <c r="H330" s="3" t="str">
        <f t="shared" si="5"/>
        <v>ACCESSORIES</v>
      </c>
      <c r="I330" s="3" t="str">
        <f t="shared" si="6"/>
        <v>EARRINGS</v>
      </c>
      <c r="J330" s="3">
        <f t="shared" si="7"/>
        <v>2</v>
      </c>
      <c r="K330" s="3">
        <f t="shared" si="8"/>
        <v>481</v>
      </c>
      <c r="L330" s="4">
        <f t="shared" si="9"/>
        <v>0.2</v>
      </c>
      <c r="M330" s="3">
        <f t="shared" si="10"/>
        <v>769.6</v>
      </c>
      <c r="N330" s="3">
        <f t="shared" si="11"/>
        <v>539</v>
      </c>
      <c r="O330" s="3">
        <f t="shared" si="12"/>
        <v>231</v>
      </c>
      <c r="P330" s="3" t="str">
        <f t="shared" si="13"/>
        <v>NET BANKING</v>
      </c>
      <c r="Q330" s="3" t="str">
        <f t="shared" si="14"/>
        <v>DELIVERED</v>
      </c>
    </row>
    <row r="331">
      <c r="A331" s="1" t="s">
        <v>1036</v>
      </c>
      <c r="B331" s="2">
        <f t="shared" si="1"/>
        <v>46135</v>
      </c>
      <c r="C331" s="1" t="s">
        <v>1037</v>
      </c>
      <c r="D331" s="3" t="str">
        <f t="shared" si="2"/>
        <v>NIHAAR</v>
      </c>
      <c r="E331" s="3" t="str">
        <f t="shared" si="3"/>
        <v>MAGARASTRA</v>
      </c>
      <c r="F331" s="3" t="str">
        <f t="shared" si="4"/>
        <v>PUNE</v>
      </c>
      <c r="G331" s="1" t="s">
        <v>1038</v>
      </c>
      <c r="H331" s="3" t="str">
        <f t="shared" si="5"/>
        <v>ELECTRONICS</v>
      </c>
      <c r="I331" s="3" t="str">
        <f t="shared" si="6"/>
        <v>WIRELESS EARBUDS</v>
      </c>
      <c r="J331" s="3">
        <f t="shared" si="7"/>
        <v>2</v>
      </c>
      <c r="K331" s="3">
        <f t="shared" si="8"/>
        <v>419</v>
      </c>
      <c r="L331" s="4">
        <f t="shared" si="9"/>
        <v>0.15</v>
      </c>
      <c r="M331" s="3">
        <f t="shared" si="10"/>
        <v>712.3</v>
      </c>
      <c r="N331" s="3">
        <f t="shared" si="11"/>
        <v>499</v>
      </c>
      <c r="O331" s="3">
        <f t="shared" si="12"/>
        <v>213</v>
      </c>
      <c r="P331" s="3" t="str">
        <f t="shared" si="13"/>
        <v>WALLET</v>
      </c>
      <c r="Q331" s="3" t="str">
        <f t="shared" si="14"/>
        <v>SHIPPED</v>
      </c>
    </row>
    <row r="332">
      <c r="A332" s="1" t="s">
        <v>1039</v>
      </c>
      <c r="B332" s="2">
        <f t="shared" si="1"/>
        <v>46167</v>
      </c>
      <c r="C332" s="1" t="s">
        <v>1040</v>
      </c>
      <c r="D332" s="3" t="str">
        <f t="shared" si="2"/>
        <v>SRI</v>
      </c>
      <c r="E332" s="3" t="str">
        <f t="shared" si="3"/>
        <v>TAMILNADU</v>
      </c>
      <c r="F332" s="3" t="str">
        <f t="shared" si="4"/>
        <v>THOOTHUKUDI</v>
      </c>
      <c r="G332" s="1" t="s">
        <v>1041</v>
      </c>
      <c r="H332" s="3" t="str">
        <f t="shared" si="5"/>
        <v>SPORTS</v>
      </c>
      <c r="I332" s="3" t="str">
        <f t="shared" si="6"/>
        <v>FOOTBALL</v>
      </c>
      <c r="J332" s="3">
        <f t="shared" si="7"/>
        <v>3</v>
      </c>
      <c r="K332" s="3">
        <f t="shared" si="8"/>
        <v>140</v>
      </c>
      <c r="L332" s="4">
        <f t="shared" si="9"/>
        <v>0.17</v>
      </c>
      <c r="M332" s="3">
        <f t="shared" si="10"/>
        <v>348.6</v>
      </c>
      <c r="N332" s="3">
        <f t="shared" si="11"/>
        <v>244</v>
      </c>
      <c r="O332" s="3">
        <f t="shared" si="12"/>
        <v>105</v>
      </c>
      <c r="P332" s="3" t="str">
        <f t="shared" si="13"/>
        <v>UPI</v>
      </c>
      <c r="Q332" s="3" t="str">
        <f t="shared" si="14"/>
        <v>CANCELLED</v>
      </c>
    </row>
    <row r="333">
      <c r="A333" s="1" t="s">
        <v>1042</v>
      </c>
      <c r="B333" s="2">
        <f t="shared" si="1"/>
        <v>46079</v>
      </c>
      <c r="C333" s="1" t="s">
        <v>1043</v>
      </c>
      <c r="D333" s="3" t="str">
        <f t="shared" si="2"/>
        <v>SHOBN</v>
      </c>
      <c r="E333" s="3" t="str">
        <f t="shared" si="3"/>
        <v>KERALA</v>
      </c>
      <c r="F333" s="3" t="str">
        <f t="shared" si="4"/>
        <v>KOCHI</v>
      </c>
      <c r="G333" s="1" t="s">
        <v>1044</v>
      </c>
      <c r="H333" s="3" t="str">
        <f t="shared" si="5"/>
        <v>FOOD</v>
      </c>
      <c r="I333" s="3" t="str">
        <f t="shared" si="6"/>
        <v>BIRIYANI</v>
      </c>
      <c r="J333" s="3">
        <f t="shared" si="7"/>
        <v>2</v>
      </c>
      <c r="K333" s="3">
        <f t="shared" si="8"/>
        <v>239</v>
      </c>
      <c r="L333" s="4">
        <f t="shared" si="9"/>
        <v>0.17</v>
      </c>
      <c r="M333" s="3">
        <f t="shared" si="10"/>
        <v>396.74</v>
      </c>
      <c r="N333" s="3">
        <f t="shared" si="11"/>
        <v>278</v>
      </c>
      <c r="O333" s="3">
        <f t="shared" si="12"/>
        <v>119</v>
      </c>
      <c r="P333" s="3" t="str">
        <f t="shared" si="13"/>
        <v>CARD</v>
      </c>
      <c r="Q333" s="3" t="str">
        <f t="shared" si="14"/>
        <v>RETURNED</v>
      </c>
    </row>
    <row r="334">
      <c r="A334" s="1" t="s">
        <v>1045</v>
      </c>
      <c r="B334" s="2">
        <f t="shared" si="1"/>
        <v>46048</v>
      </c>
      <c r="C334" s="1" t="s">
        <v>1046</v>
      </c>
      <c r="D334" s="3" t="str">
        <f t="shared" si="2"/>
        <v>SOBI</v>
      </c>
      <c r="E334" s="3" t="str">
        <f t="shared" si="3"/>
        <v>KARNATAKA</v>
      </c>
      <c r="F334" s="3" t="str">
        <f t="shared" si="4"/>
        <v>BANGALURU</v>
      </c>
      <c r="G334" s="1" t="s">
        <v>1047</v>
      </c>
      <c r="H334" s="3" t="str">
        <f t="shared" si="5"/>
        <v>DRESS</v>
      </c>
      <c r="I334" s="3" t="str">
        <f t="shared" si="6"/>
        <v>WOMEN WAERS</v>
      </c>
      <c r="J334" s="3">
        <f t="shared" si="7"/>
        <v>3</v>
      </c>
      <c r="K334" s="3">
        <f t="shared" si="8"/>
        <v>546</v>
      </c>
      <c r="L334" s="4">
        <f t="shared" si="9"/>
        <v>0</v>
      </c>
      <c r="M334" s="3">
        <f t="shared" si="10"/>
        <v>1638</v>
      </c>
      <c r="N334" s="3">
        <f t="shared" si="11"/>
        <v>1147</v>
      </c>
      <c r="O334" s="3">
        <f t="shared" si="12"/>
        <v>491</v>
      </c>
      <c r="P334" s="3" t="str">
        <f t="shared" si="13"/>
        <v>COD</v>
      </c>
      <c r="Q334" s="3" t="str">
        <f t="shared" si="14"/>
        <v>DELIVERED</v>
      </c>
    </row>
    <row r="335">
      <c r="A335" s="1" t="s">
        <v>1048</v>
      </c>
      <c r="B335" s="2">
        <f t="shared" si="1"/>
        <v>46202</v>
      </c>
      <c r="C335" s="1" t="s">
        <v>1049</v>
      </c>
      <c r="D335" s="3" t="str">
        <f t="shared" si="2"/>
        <v>SUJI</v>
      </c>
      <c r="E335" s="3" t="str">
        <f t="shared" si="3"/>
        <v>ANDHRA PRADESH</v>
      </c>
      <c r="F335" s="3" t="str">
        <f t="shared" si="4"/>
        <v>TIRUPATI</v>
      </c>
      <c r="G335" s="1" t="s">
        <v>1050</v>
      </c>
      <c r="H335" s="3" t="str">
        <f t="shared" si="5"/>
        <v>BEAUTY</v>
      </c>
      <c r="I335" s="3" t="str">
        <f t="shared" si="6"/>
        <v>KAJAL</v>
      </c>
      <c r="J335" s="3">
        <f t="shared" si="7"/>
        <v>3</v>
      </c>
      <c r="K335" s="3">
        <f t="shared" si="8"/>
        <v>502</v>
      </c>
      <c r="L335" s="4">
        <f t="shared" si="9"/>
        <v>0.5</v>
      </c>
      <c r="M335" s="3">
        <f t="shared" si="10"/>
        <v>753</v>
      </c>
      <c r="N335" s="3">
        <f t="shared" si="11"/>
        <v>527</v>
      </c>
      <c r="O335" s="3">
        <f t="shared" si="12"/>
        <v>226</v>
      </c>
      <c r="P335" s="3" t="str">
        <f t="shared" si="13"/>
        <v>NET BANKING</v>
      </c>
      <c r="Q335" s="3" t="str">
        <f t="shared" si="14"/>
        <v>SHIPPED</v>
      </c>
    </row>
    <row r="336">
      <c r="A336" s="1" t="s">
        <v>1051</v>
      </c>
      <c r="B336" s="2">
        <f t="shared" si="1"/>
        <v>46034</v>
      </c>
      <c r="C336" s="1" t="s">
        <v>1052</v>
      </c>
      <c r="D336" s="3" t="str">
        <f t="shared" si="2"/>
        <v>RATHA</v>
      </c>
      <c r="E336" s="3" t="str">
        <f t="shared" si="3"/>
        <v>TELUGANA</v>
      </c>
      <c r="F336" s="3" t="str">
        <f t="shared" si="4"/>
        <v>HYDERABAD</v>
      </c>
      <c r="G336" s="1" t="s">
        <v>1053</v>
      </c>
      <c r="H336" s="3" t="str">
        <f t="shared" si="5"/>
        <v>HOME &amp; KITCHEN</v>
      </c>
      <c r="I336" s="3" t="str">
        <f t="shared" si="6"/>
        <v>MIXER GRAINDER</v>
      </c>
      <c r="J336" s="3">
        <f t="shared" si="7"/>
        <v>1</v>
      </c>
      <c r="K336" s="3">
        <f t="shared" si="8"/>
        <v>386</v>
      </c>
      <c r="L336" s="4">
        <f t="shared" si="9"/>
        <v>0.5</v>
      </c>
      <c r="M336" s="3">
        <f t="shared" si="10"/>
        <v>193</v>
      </c>
      <c r="N336" s="3">
        <f t="shared" si="11"/>
        <v>135</v>
      </c>
      <c r="O336" s="3">
        <f t="shared" si="12"/>
        <v>58</v>
      </c>
      <c r="P336" s="3" t="str">
        <f t="shared" si="13"/>
        <v>WALLET</v>
      </c>
      <c r="Q336" s="3" t="str">
        <f t="shared" si="14"/>
        <v>CANCELLED</v>
      </c>
    </row>
    <row r="337">
      <c r="A337" s="1" t="s">
        <v>1054</v>
      </c>
      <c r="B337" s="2">
        <f t="shared" si="1"/>
        <v>46041</v>
      </c>
      <c r="C337" s="1" t="s">
        <v>1055</v>
      </c>
      <c r="D337" s="3" t="str">
        <f t="shared" si="2"/>
        <v>SUSA</v>
      </c>
      <c r="E337" s="3" t="str">
        <f t="shared" si="3"/>
        <v>UTTHRA PRADESH</v>
      </c>
      <c r="F337" s="3" t="str">
        <f t="shared" si="4"/>
        <v>LUCKNOW</v>
      </c>
      <c r="G337" s="1" t="s">
        <v>1056</v>
      </c>
      <c r="H337" s="3" t="str">
        <f t="shared" si="5"/>
        <v>BOOKS</v>
      </c>
      <c r="I337" s="3" t="str">
        <f t="shared" si="6"/>
        <v>LIFE OF PI</v>
      </c>
      <c r="J337" s="3">
        <f t="shared" si="7"/>
        <v>2</v>
      </c>
      <c r="K337" s="3">
        <f t="shared" si="8"/>
        <v>304</v>
      </c>
      <c r="L337" s="4">
        <f t="shared" si="9"/>
        <v>0.1</v>
      </c>
      <c r="M337" s="3">
        <f t="shared" si="10"/>
        <v>547.2</v>
      </c>
      <c r="N337" s="3">
        <f t="shared" si="11"/>
        <v>383</v>
      </c>
      <c r="O337" s="3">
        <f t="shared" si="12"/>
        <v>164</v>
      </c>
      <c r="P337" s="3" t="str">
        <f t="shared" si="13"/>
        <v>UPI</v>
      </c>
      <c r="Q337" s="3" t="str">
        <f t="shared" si="14"/>
        <v>RETURNED</v>
      </c>
    </row>
    <row r="338">
      <c r="A338" s="1" t="s">
        <v>1057</v>
      </c>
      <c r="B338" s="2">
        <f t="shared" si="1"/>
        <v>46304</v>
      </c>
      <c r="C338" s="1" t="s">
        <v>1058</v>
      </c>
      <c r="D338" s="3" t="str">
        <f t="shared" si="2"/>
        <v>NIVE</v>
      </c>
      <c r="E338" s="3" t="str">
        <f t="shared" si="3"/>
        <v>GUJARAT</v>
      </c>
      <c r="F338" s="3" t="str">
        <f t="shared" si="4"/>
        <v>SURAT</v>
      </c>
      <c r="G338" s="1" t="s">
        <v>1059</v>
      </c>
      <c r="H338" s="3" t="str">
        <f t="shared" si="5"/>
        <v>ACCESSORIES</v>
      </c>
      <c r="I338" s="3" t="str">
        <f t="shared" si="6"/>
        <v>EARRINGS</v>
      </c>
      <c r="J338" s="3">
        <f t="shared" si="7"/>
        <v>5</v>
      </c>
      <c r="K338" s="3">
        <f t="shared" si="8"/>
        <v>158</v>
      </c>
      <c r="L338" s="4">
        <f t="shared" si="9"/>
        <v>0</v>
      </c>
      <c r="M338" s="3">
        <f t="shared" si="10"/>
        <v>790</v>
      </c>
      <c r="N338" s="3">
        <f t="shared" si="11"/>
        <v>553</v>
      </c>
      <c r="O338" s="3">
        <f t="shared" si="12"/>
        <v>237</v>
      </c>
      <c r="P338" s="3" t="str">
        <f t="shared" si="13"/>
        <v>CARD</v>
      </c>
      <c r="Q338" s="3" t="str">
        <f t="shared" si="14"/>
        <v>DELIVERED</v>
      </c>
    </row>
    <row r="339">
      <c r="A339" s="1" t="s">
        <v>1060</v>
      </c>
      <c r="B339" s="2">
        <f t="shared" si="1"/>
        <v>46112</v>
      </c>
      <c r="C339" s="1" t="s">
        <v>1061</v>
      </c>
      <c r="D339" s="3" t="str">
        <f t="shared" si="2"/>
        <v>VINO</v>
      </c>
      <c r="E339" s="3" t="str">
        <f t="shared" si="3"/>
        <v>RAJASTHAN</v>
      </c>
      <c r="F339" s="3" t="str">
        <f t="shared" si="4"/>
        <v>JAIPUR</v>
      </c>
      <c r="G339" s="1" t="s">
        <v>1062</v>
      </c>
      <c r="H339" s="3" t="str">
        <f t="shared" si="5"/>
        <v>ELECTRONICS</v>
      </c>
      <c r="I339" s="3" t="str">
        <f t="shared" si="6"/>
        <v>WIRELESS EARBUDS</v>
      </c>
      <c r="J339" s="3">
        <f t="shared" si="7"/>
        <v>1</v>
      </c>
      <c r="K339" s="3">
        <f t="shared" si="8"/>
        <v>128</v>
      </c>
      <c r="L339" s="4">
        <f t="shared" si="9"/>
        <v>0.2</v>
      </c>
      <c r="M339" s="3">
        <f t="shared" si="10"/>
        <v>102.4</v>
      </c>
      <c r="N339" s="3">
        <f t="shared" si="11"/>
        <v>72</v>
      </c>
      <c r="O339" s="3">
        <f t="shared" si="12"/>
        <v>30</v>
      </c>
      <c r="P339" s="3" t="str">
        <f t="shared" si="13"/>
        <v>COD</v>
      </c>
      <c r="Q339" s="3" t="str">
        <f t="shared" si="14"/>
        <v>SHIPPED</v>
      </c>
    </row>
    <row r="340">
      <c r="A340" s="1" t="s">
        <v>1063</v>
      </c>
      <c r="B340" s="2">
        <f t="shared" si="1"/>
        <v>46309</v>
      </c>
      <c r="C340" s="1" t="s">
        <v>1064</v>
      </c>
      <c r="D340" s="3" t="str">
        <f t="shared" si="2"/>
        <v>ABI</v>
      </c>
      <c r="E340" s="3" t="str">
        <f t="shared" si="3"/>
        <v>WEST BENGAL</v>
      </c>
      <c r="F340" s="3" t="str">
        <f t="shared" si="4"/>
        <v>KOLKATA</v>
      </c>
      <c r="G340" s="1" t="s">
        <v>1065</v>
      </c>
      <c r="H340" s="3" t="str">
        <f t="shared" si="5"/>
        <v>SPORTS</v>
      </c>
      <c r="I340" s="3" t="str">
        <f t="shared" si="6"/>
        <v>FOOTBALL</v>
      </c>
      <c r="J340" s="3">
        <f t="shared" si="7"/>
        <v>1</v>
      </c>
      <c r="K340" s="3">
        <f t="shared" si="8"/>
        <v>533</v>
      </c>
      <c r="L340" s="4">
        <f t="shared" si="9"/>
        <v>0.2</v>
      </c>
      <c r="M340" s="3">
        <f t="shared" si="10"/>
        <v>426.4</v>
      </c>
      <c r="N340" s="3">
        <f t="shared" si="11"/>
        <v>298</v>
      </c>
      <c r="O340" s="3">
        <f t="shared" si="12"/>
        <v>128</v>
      </c>
      <c r="P340" s="3" t="str">
        <f t="shared" si="13"/>
        <v>NET BANKING</v>
      </c>
      <c r="Q340" s="3" t="str">
        <f t="shared" si="14"/>
        <v>CANCELLED</v>
      </c>
    </row>
    <row r="341">
      <c r="A341" s="1" t="s">
        <v>1066</v>
      </c>
      <c r="B341" s="2">
        <f t="shared" si="1"/>
        <v>46243</v>
      </c>
      <c r="C341" s="1" t="s">
        <v>1067</v>
      </c>
      <c r="D341" s="3" t="str">
        <f t="shared" si="2"/>
        <v>NIHAAR</v>
      </c>
      <c r="E341" s="3" t="str">
        <f t="shared" si="3"/>
        <v>MAGARASTRA</v>
      </c>
      <c r="F341" s="3" t="str">
        <f t="shared" si="4"/>
        <v>PUNE</v>
      </c>
      <c r="G341" s="1" t="s">
        <v>1068</v>
      </c>
      <c r="H341" s="3" t="str">
        <f t="shared" si="5"/>
        <v>FOOD</v>
      </c>
      <c r="I341" s="3" t="str">
        <f t="shared" si="6"/>
        <v>BIRIYANI</v>
      </c>
      <c r="J341" s="3">
        <f t="shared" si="7"/>
        <v>5</v>
      </c>
      <c r="K341" s="3">
        <f t="shared" si="8"/>
        <v>364</v>
      </c>
      <c r="L341" s="4">
        <f t="shared" si="9"/>
        <v>0.2</v>
      </c>
      <c r="M341" s="3">
        <f t="shared" si="10"/>
        <v>1456</v>
      </c>
      <c r="N341" s="3">
        <f t="shared" si="11"/>
        <v>1019</v>
      </c>
      <c r="O341" s="3">
        <f t="shared" si="12"/>
        <v>437</v>
      </c>
      <c r="P341" s="3" t="str">
        <f t="shared" si="13"/>
        <v>WALLET</v>
      </c>
      <c r="Q341" s="3" t="str">
        <f t="shared" si="14"/>
        <v>RETURNED</v>
      </c>
    </row>
    <row r="342">
      <c r="A342" s="1" t="s">
        <v>1069</v>
      </c>
      <c r="B342" s="2">
        <f t="shared" si="1"/>
        <v>46276</v>
      </c>
      <c r="C342" s="1" t="s">
        <v>1070</v>
      </c>
      <c r="D342" s="3" t="str">
        <f t="shared" si="2"/>
        <v>SRI</v>
      </c>
      <c r="E342" s="3" t="str">
        <f t="shared" si="3"/>
        <v>TAMILNADU</v>
      </c>
      <c r="F342" s="3" t="str">
        <f t="shared" si="4"/>
        <v>THOOTHUKUDI</v>
      </c>
      <c r="G342" s="1" t="s">
        <v>1071</v>
      </c>
      <c r="H342" s="3" t="str">
        <f t="shared" si="5"/>
        <v>DRESS</v>
      </c>
      <c r="I342" s="3" t="str">
        <f t="shared" si="6"/>
        <v>WOMEN WAERS</v>
      </c>
      <c r="J342" s="3">
        <f t="shared" si="7"/>
        <v>3</v>
      </c>
      <c r="K342" s="3">
        <f t="shared" si="8"/>
        <v>282</v>
      </c>
      <c r="L342" s="4">
        <f t="shared" si="9"/>
        <v>0.5</v>
      </c>
      <c r="M342" s="3">
        <f t="shared" si="10"/>
        <v>423</v>
      </c>
      <c r="N342" s="3">
        <f t="shared" si="11"/>
        <v>296</v>
      </c>
      <c r="O342" s="3">
        <f t="shared" si="12"/>
        <v>127</v>
      </c>
      <c r="P342" s="3" t="str">
        <f t="shared" si="13"/>
        <v>UPI</v>
      </c>
      <c r="Q342" s="3" t="str">
        <f t="shared" si="14"/>
        <v>DELIVERED</v>
      </c>
    </row>
    <row r="343">
      <c r="A343" s="1" t="s">
        <v>1072</v>
      </c>
      <c r="B343" s="2">
        <f t="shared" si="1"/>
        <v>46052</v>
      </c>
      <c r="C343" s="1" t="s">
        <v>1073</v>
      </c>
      <c r="D343" s="3" t="str">
        <f t="shared" si="2"/>
        <v>SHOBN</v>
      </c>
      <c r="E343" s="3" t="str">
        <f t="shared" si="3"/>
        <v>KERALA</v>
      </c>
      <c r="F343" s="3" t="str">
        <f t="shared" si="4"/>
        <v>KOCHI</v>
      </c>
      <c r="G343" s="1" t="s">
        <v>1074</v>
      </c>
      <c r="H343" s="3" t="str">
        <f t="shared" si="5"/>
        <v>BEAUTY</v>
      </c>
      <c r="I343" s="3" t="str">
        <f t="shared" si="6"/>
        <v>KAJAL</v>
      </c>
      <c r="J343" s="3">
        <f t="shared" si="7"/>
        <v>3</v>
      </c>
      <c r="K343" s="3">
        <f t="shared" si="8"/>
        <v>397</v>
      </c>
      <c r="L343" s="4">
        <f t="shared" si="9"/>
        <v>0.1</v>
      </c>
      <c r="M343" s="3">
        <f t="shared" si="10"/>
        <v>1071.9</v>
      </c>
      <c r="N343" s="3">
        <f t="shared" si="11"/>
        <v>750</v>
      </c>
      <c r="O343" s="3">
        <f t="shared" si="12"/>
        <v>322</v>
      </c>
      <c r="P343" s="3" t="str">
        <f t="shared" si="13"/>
        <v>CARD</v>
      </c>
      <c r="Q343" s="3" t="str">
        <f t="shared" si="14"/>
        <v>SHIPPED</v>
      </c>
    </row>
    <row r="344">
      <c r="A344" s="1" t="s">
        <v>1075</v>
      </c>
      <c r="B344" s="2">
        <f t="shared" si="1"/>
        <v>46118</v>
      </c>
      <c r="C344" s="1" t="s">
        <v>1076</v>
      </c>
      <c r="D344" s="3" t="str">
        <f t="shared" si="2"/>
        <v>SOBI</v>
      </c>
      <c r="E344" s="3" t="str">
        <f t="shared" si="3"/>
        <v>KARNATAKA</v>
      </c>
      <c r="F344" s="3" t="str">
        <f t="shared" si="4"/>
        <v>BANGALURU</v>
      </c>
      <c r="G344" s="1" t="s">
        <v>1077</v>
      </c>
      <c r="H344" s="3" t="str">
        <f t="shared" si="5"/>
        <v>HOME &amp; KITCHEN</v>
      </c>
      <c r="I344" s="3" t="str">
        <f t="shared" si="6"/>
        <v>MIXER GRAINDER</v>
      </c>
      <c r="J344" s="3">
        <f t="shared" si="7"/>
        <v>2</v>
      </c>
      <c r="K344" s="3">
        <f t="shared" si="8"/>
        <v>210</v>
      </c>
      <c r="L344" s="4">
        <f t="shared" si="9"/>
        <v>0.15</v>
      </c>
      <c r="M344" s="3">
        <f t="shared" si="10"/>
        <v>357</v>
      </c>
      <c r="N344" s="3">
        <f t="shared" si="11"/>
        <v>250</v>
      </c>
      <c r="O344" s="3">
        <f t="shared" si="12"/>
        <v>107</v>
      </c>
      <c r="P344" s="3" t="str">
        <f t="shared" si="13"/>
        <v>COD</v>
      </c>
      <c r="Q344" s="3" t="str">
        <f t="shared" si="14"/>
        <v>CANCELLED</v>
      </c>
    </row>
    <row r="345">
      <c r="A345" s="1" t="s">
        <v>1078</v>
      </c>
      <c r="B345" s="2">
        <f t="shared" si="1"/>
        <v>46157</v>
      </c>
      <c r="C345" s="1" t="s">
        <v>1079</v>
      </c>
      <c r="D345" s="3" t="str">
        <f t="shared" si="2"/>
        <v>SUJI</v>
      </c>
      <c r="E345" s="3" t="str">
        <f t="shared" si="3"/>
        <v>ANDHRA PRADESH</v>
      </c>
      <c r="F345" s="3" t="str">
        <f t="shared" si="4"/>
        <v>TIRUPATI</v>
      </c>
      <c r="G345" s="1" t="s">
        <v>1080</v>
      </c>
      <c r="H345" s="3" t="str">
        <f t="shared" si="5"/>
        <v>BOOKS</v>
      </c>
      <c r="I345" s="3" t="str">
        <f t="shared" si="6"/>
        <v>LIFE OF PI</v>
      </c>
      <c r="J345" s="3">
        <f t="shared" si="7"/>
        <v>4</v>
      </c>
      <c r="K345" s="3">
        <f t="shared" si="8"/>
        <v>582</v>
      </c>
      <c r="L345" s="4">
        <f t="shared" si="9"/>
        <v>0.15</v>
      </c>
      <c r="M345" s="3">
        <f t="shared" si="10"/>
        <v>1978.8</v>
      </c>
      <c r="N345" s="3">
        <f t="shared" si="11"/>
        <v>1385</v>
      </c>
      <c r="O345" s="3">
        <f t="shared" si="12"/>
        <v>594</v>
      </c>
      <c r="P345" s="3" t="str">
        <f t="shared" si="13"/>
        <v>NET BANKING</v>
      </c>
      <c r="Q345" s="3" t="str">
        <f t="shared" si="14"/>
        <v>RETURNED</v>
      </c>
    </row>
    <row r="346">
      <c r="A346" s="1" t="s">
        <v>1081</v>
      </c>
      <c r="B346" s="2">
        <f t="shared" si="1"/>
        <v>46125</v>
      </c>
      <c r="C346" s="1" t="s">
        <v>1082</v>
      </c>
      <c r="D346" s="3" t="str">
        <f t="shared" si="2"/>
        <v>RATHA</v>
      </c>
      <c r="E346" s="3" t="str">
        <f t="shared" si="3"/>
        <v>TELUGANA</v>
      </c>
      <c r="F346" s="3" t="str">
        <f t="shared" si="4"/>
        <v>HYDERABAD</v>
      </c>
      <c r="G346" s="1" t="s">
        <v>1083</v>
      </c>
      <c r="H346" s="3" t="str">
        <f t="shared" si="5"/>
        <v>ACCESSORIES</v>
      </c>
      <c r="I346" s="3" t="str">
        <f t="shared" si="6"/>
        <v>EARRINGS</v>
      </c>
      <c r="J346" s="3">
        <f t="shared" si="7"/>
        <v>4</v>
      </c>
      <c r="K346" s="3">
        <f t="shared" si="8"/>
        <v>238</v>
      </c>
      <c r="L346" s="4">
        <f t="shared" si="9"/>
        <v>0.5</v>
      </c>
      <c r="M346" s="3">
        <f t="shared" si="10"/>
        <v>476</v>
      </c>
      <c r="N346" s="3">
        <f t="shared" si="11"/>
        <v>333</v>
      </c>
      <c r="O346" s="3">
        <f t="shared" si="12"/>
        <v>143</v>
      </c>
      <c r="P346" s="3" t="str">
        <f t="shared" si="13"/>
        <v>WALLET</v>
      </c>
      <c r="Q346" s="3" t="str">
        <f t="shared" si="14"/>
        <v>DELIVERED</v>
      </c>
    </row>
    <row r="347">
      <c r="A347" s="1" t="s">
        <v>1084</v>
      </c>
      <c r="B347" s="2">
        <f t="shared" si="1"/>
        <v>46303</v>
      </c>
      <c r="C347" s="1" t="s">
        <v>1085</v>
      </c>
      <c r="D347" s="3" t="str">
        <f t="shared" si="2"/>
        <v>SUSA</v>
      </c>
      <c r="E347" s="3" t="str">
        <f t="shared" si="3"/>
        <v>UTTHRA PRADESH</v>
      </c>
      <c r="F347" s="3" t="str">
        <f t="shared" si="4"/>
        <v>LUCKNOW</v>
      </c>
      <c r="G347" s="1" t="s">
        <v>1086</v>
      </c>
      <c r="H347" s="3" t="str">
        <f t="shared" si="5"/>
        <v>ELECTRONICS</v>
      </c>
      <c r="I347" s="3" t="str">
        <f t="shared" si="6"/>
        <v>WIRELESS EARBUDS</v>
      </c>
      <c r="J347" s="3">
        <f t="shared" si="7"/>
        <v>1</v>
      </c>
      <c r="K347" s="3">
        <f t="shared" si="8"/>
        <v>412</v>
      </c>
      <c r="L347" s="4">
        <f t="shared" si="9"/>
        <v>0.2</v>
      </c>
      <c r="M347" s="3">
        <f t="shared" si="10"/>
        <v>329.6</v>
      </c>
      <c r="N347" s="3">
        <f t="shared" si="11"/>
        <v>231</v>
      </c>
      <c r="O347" s="3">
        <f t="shared" si="12"/>
        <v>99</v>
      </c>
      <c r="P347" s="3" t="str">
        <f t="shared" si="13"/>
        <v>UPI</v>
      </c>
      <c r="Q347" s="3" t="str">
        <f t="shared" si="14"/>
        <v>SHIPPED</v>
      </c>
    </row>
    <row r="348">
      <c r="A348" s="1" t="s">
        <v>1087</v>
      </c>
      <c r="B348" s="2">
        <f t="shared" si="1"/>
        <v>46263</v>
      </c>
      <c r="C348" s="1" t="s">
        <v>1088</v>
      </c>
      <c r="D348" s="3" t="str">
        <f t="shared" si="2"/>
        <v>NIVE</v>
      </c>
      <c r="E348" s="3" t="str">
        <f t="shared" si="3"/>
        <v>GUJARAT</v>
      </c>
      <c r="F348" s="3" t="str">
        <f t="shared" si="4"/>
        <v>SURAT</v>
      </c>
      <c r="G348" s="1" t="s">
        <v>1089</v>
      </c>
      <c r="H348" s="3" t="str">
        <f t="shared" si="5"/>
        <v>SPORTS</v>
      </c>
      <c r="I348" s="3" t="str">
        <f t="shared" si="6"/>
        <v>FOOTBALL</v>
      </c>
      <c r="J348" s="3">
        <f t="shared" si="7"/>
        <v>3</v>
      </c>
      <c r="K348" s="3">
        <f t="shared" si="8"/>
        <v>239</v>
      </c>
      <c r="L348" s="4">
        <f t="shared" si="9"/>
        <v>0.5</v>
      </c>
      <c r="M348" s="3">
        <f t="shared" si="10"/>
        <v>358.5</v>
      </c>
      <c r="N348" s="3">
        <f t="shared" si="11"/>
        <v>251</v>
      </c>
      <c r="O348" s="3">
        <f t="shared" si="12"/>
        <v>108</v>
      </c>
      <c r="P348" s="3" t="str">
        <f t="shared" si="13"/>
        <v>CARD</v>
      </c>
      <c r="Q348" s="3" t="str">
        <f t="shared" si="14"/>
        <v>CANCELLED</v>
      </c>
    </row>
    <row r="349">
      <c r="A349" s="1" t="s">
        <v>1090</v>
      </c>
      <c r="B349" s="2">
        <f t="shared" si="1"/>
        <v>46240</v>
      </c>
      <c r="C349" s="1" t="s">
        <v>1091</v>
      </c>
      <c r="D349" s="3" t="str">
        <f t="shared" si="2"/>
        <v>VINO</v>
      </c>
      <c r="E349" s="3" t="str">
        <f t="shared" si="3"/>
        <v>RAJASTHAN</v>
      </c>
      <c r="F349" s="3" t="str">
        <f t="shared" si="4"/>
        <v>JAIPUR</v>
      </c>
      <c r="G349" s="1" t="s">
        <v>1092</v>
      </c>
      <c r="H349" s="3" t="str">
        <f t="shared" si="5"/>
        <v>FOOD</v>
      </c>
      <c r="I349" s="3" t="str">
        <f t="shared" si="6"/>
        <v>BIRIYANI</v>
      </c>
      <c r="J349" s="3">
        <f t="shared" si="7"/>
        <v>3</v>
      </c>
      <c r="K349" s="3">
        <f t="shared" si="8"/>
        <v>396</v>
      </c>
      <c r="L349" s="4">
        <f t="shared" si="9"/>
        <v>0.15</v>
      </c>
      <c r="M349" s="3">
        <f t="shared" si="10"/>
        <v>1009.8</v>
      </c>
      <c r="N349" s="3">
        <f t="shared" si="11"/>
        <v>707</v>
      </c>
      <c r="O349" s="3">
        <f t="shared" si="12"/>
        <v>303</v>
      </c>
      <c r="P349" s="3" t="str">
        <f t="shared" si="13"/>
        <v>COD</v>
      </c>
      <c r="Q349" s="3" t="str">
        <f t="shared" si="14"/>
        <v>RETURNED</v>
      </c>
    </row>
    <row r="350">
      <c r="A350" s="1" t="s">
        <v>1093</v>
      </c>
      <c r="B350" s="2">
        <f t="shared" si="1"/>
        <v>46194</v>
      </c>
      <c r="C350" s="1" t="s">
        <v>1094</v>
      </c>
      <c r="D350" s="3" t="str">
        <f t="shared" si="2"/>
        <v>ABI</v>
      </c>
      <c r="E350" s="3" t="str">
        <f t="shared" si="3"/>
        <v>WEST BENGAL</v>
      </c>
      <c r="F350" s="3" t="str">
        <f t="shared" si="4"/>
        <v>KOLKATA</v>
      </c>
      <c r="G350" s="1" t="s">
        <v>1095</v>
      </c>
      <c r="H350" s="3" t="str">
        <f t="shared" si="5"/>
        <v>DRESS</v>
      </c>
      <c r="I350" s="3" t="str">
        <f t="shared" si="6"/>
        <v>WOMEN WAERS</v>
      </c>
      <c r="J350" s="3">
        <f t="shared" si="7"/>
        <v>5</v>
      </c>
      <c r="K350" s="3">
        <f t="shared" si="8"/>
        <v>305</v>
      </c>
      <c r="L350" s="4">
        <f t="shared" si="9"/>
        <v>0.5</v>
      </c>
      <c r="M350" s="3">
        <f t="shared" si="10"/>
        <v>762.5</v>
      </c>
      <c r="N350" s="3">
        <f t="shared" si="11"/>
        <v>534</v>
      </c>
      <c r="O350" s="3">
        <f t="shared" si="12"/>
        <v>229</v>
      </c>
      <c r="P350" s="3" t="str">
        <f t="shared" si="13"/>
        <v>NET BANKING</v>
      </c>
      <c r="Q350" s="3" t="str">
        <f t="shared" si="14"/>
        <v>DELIVERED</v>
      </c>
    </row>
    <row r="351">
      <c r="A351" s="1" t="s">
        <v>1096</v>
      </c>
      <c r="B351" s="2">
        <f t="shared" si="1"/>
        <v>46048</v>
      </c>
      <c r="C351" s="1" t="s">
        <v>1097</v>
      </c>
      <c r="D351" s="3" t="str">
        <f t="shared" si="2"/>
        <v>NIHAAR</v>
      </c>
      <c r="E351" s="3" t="str">
        <f t="shared" si="3"/>
        <v>MAGARASTRA</v>
      </c>
      <c r="F351" s="3" t="str">
        <f t="shared" si="4"/>
        <v>PUNE</v>
      </c>
      <c r="G351" s="1" t="s">
        <v>1098</v>
      </c>
      <c r="H351" s="3" t="str">
        <f t="shared" si="5"/>
        <v>BEAUTY</v>
      </c>
      <c r="I351" s="3" t="str">
        <f t="shared" si="6"/>
        <v>KAJAL</v>
      </c>
      <c r="J351" s="3">
        <f t="shared" si="7"/>
        <v>2</v>
      </c>
      <c r="K351" s="3">
        <f t="shared" si="8"/>
        <v>485</v>
      </c>
      <c r="L351" s="4">
        <f t="shared" si="9"/>
        <v>0.15</v>
      </c>
      <c r="M351" s="3">
        <f t="shared" si="10"/>
        <v>824.5</v>
      </c>
      <c r="N351" s="3">
        <f t="shared" si="11"/>
        <v>577</v>
      </c>
      <c r="O351" s="3">
        <f t="shared" si="12"/>
        <v>248</v>
      </c>
      <c r="P351" s="3" t="str">
        <f t="shared" si="13"/>
        <v>WALLET</v>
      </c>
      <c r="Q351" s="3" t="str">
        <f t="shared" si="14"/>
        <v>SHIPPED</v>
      </c>
    </row>
    <row r="352">
      <c r="A352" s="1" t="s">
        <v>1099</v>
      </c>
      <c r="B352" s="2">
        <f t="shared" si="1"/>
        <v>46102</v>
      </c>
      <c r="C352" s="1" t="s">
        <v>1100</v>
      </c>
      <c r="D352" s="3" t="str">
        <f t="shared" si="2"/>
        <v>SRI</v>
      </c>
      <c r="E352" s="3" t="str">
        <f t="shared" si="3"/>
        <v>TAMILNADU</v>
      </c>
      <c r="F352" s="3" t="str">
        <f t="shared" si="4"/>
        <v>THOOTHUKUDI</v>
      </c>
      <c r="G352" s="1" t="s">
        <v>1101</v>
      </c>
      <c r="H352" s="3" t="str">
        <f t="shared" si="5"/>
        <v>HOME &amp; KITCHEN</v>
      </c>
      <c r="I352" s="3" t="str">
        <f t="shared" si="6"/>
        <v>MIXER GRAINDER</v>
      </c>
      <c r="J352" s="3">
        <f t="shared" si="7"/>
        <v>5</v>
      </c>
      <c r="K352" s="3">
        <f t="shared" si="8"/>
        <v>567</v>
      </c>
      <c r="L352" s="4">
        <f t="shared" si="9"/>
        <v>0.15</v>
      </c>
      <c r="M352" s="3">
        <f t="shared" si="10"/>
        <v>2409.75</v>
      </c>
      <c r="N352" s="3">
        <f t="shared" si="11"/>
        <v>1687</v>
      </c>
      <c r="O352" s="3">
        <f t="shared" si="12"/>
        <v>723</v>
      </c>
      <c r="P352" s="3" t="str">
        <f t="shared" si="13"/>
        <v>UPI</v>
      </c>
      <c r="Q352" s="3" t="str">
        <f t="shared" si="14"/>
        <v>CANCELLED</v>
      </c>
    </row>
    <row r="353">
      <c r="A353" s="1" t="s">
        <v>1102</v>
      </c>
      <c r="B353" s="2">
        <f t="shared" si="1"/>
        <v>46029</v>
      </c>
      <c r="C353" s="1" t="s">
        <v>1103</v>
      </c>
      <c r="D353" s="3" t="str">
        <f t="shared" si="2"/>
        <v>SHOBN</v>
      </c>
      <c r="E353" s="3" t="str">
        <f t="shared" si="3"/>
        <v>KERALA</v>
      </c>
      <c r="F353" s="3" t="str">
        <f t="shared" si="4"/>
        <v>KOCHI</v>
      </c>
      <c r="G353" s="1" t="s">
        <v>1104</v>
      </c>
      <c r="H353" s="3" t="str">
        <f t="shared" si="5"/>
        <v>BOOKS</v>
      </c>
      <c r="I353" s="3" t="str">
        <f t="shared" si="6"/>
        <v>LIFE OF PI</v>
      </c>
      <c r="J353" s="3">
        <f t="shared" si="7"/>
        <v>3</v>
      </c>
      <c r="K353" s="3">
        <f t="shared" si="8"/>
        <v>308</v>
      </c>
      <c r="L353" s="4">
        <f t="shared" si="9"/>
        <v>0.15</v>
      </c>
      <c r="M353" s="3">
        <f t="shared" si="10"/>
        <v>785.4</v>
      </c>
      <c r="N353" s="3">
        <f t="shared" si="11"/>
        <v>550</v>
      </c>
      <c r="O353" s="3">
        <f t="shared" si="12"/>
        <v>235</v>
      </c>
      <c r="P353" s="3" t="str">
        <f t="shared" si="13"/>
        <v>CARD</v>
      </c>
      <c r="Q353" s="3" t="str">
        <f t="shared" si="14"/>
        <v>RETURNED</v>
      </c>
    </row>
    <row r="354">
      <c r="A354" s="1" t="s">
        <v>1105</v>
      </c>
      <c r="B354" s="2">
        <f t="shared" si="1"/>
        <v>46187</v>
      </c>
      <c r="C354" s="1" t="s">
        <v>1106</v>
      </c>
      <c r="D354" s="3" t="str">
        <f t="shared" si="2"/>
        <v>SOBI</v>
      </c>
      <c r="E354" s="3" t="str">
        <f t="shared" si="3"/>
        <v>KARNATAKA</v>
      </c>
      <c r="F354" s="3" t="str">
        <f t="shared" si="4"/>
        <v>BANGALURU</v>
      </c>
      <c r="G354" s="1" t="s">
        <v>1107</v>
      </c>
      <c r="H354" s="3" t="str">
        <f t="shared" si="5"/>
        <v>ACCESSORIES</v>
      </c>
      <c r="I354" s="3" t="str">
        <f t="shared" si="6"/>
        <v>EARRINGS</v>
      </c>
      <c r="J354" s="3">
        <f t="shared" si="7"/>
        <v>5</v>
      </c>
      <c r="K354" s="3">
        <f t="shared" si="8"/>
        <v>337</v>
      </c>
      <c r="L354" s="4">
        <f t="shared" si="9"/>
        <v>0</v>
      </c>
      <c r="M354" s="3">
        <f t="shared" si="10"/>
        <v>1685</v>
      </c>
      <c r="N354" s="3">
        <f t="shared" si="11"/>
        <v>1180</v>
      </c>
      <c r="O354" s="3">
        <f t="shared" si="12"/>
        <v>505</v>
      </c>
      <c r="P354" s="3" t="str">
        <f t="shared" si="13"/>
        <v>COD</v>
      </c>
      <c r="Q354" s="3" t="str">
        <f t="shared" si="14"/>
        <v>DELIVERED</v>
      </c>
    </row>
    <row r="355">
      <c r="A355" s="1" t="s">
        <v>1108</v>
      </c>
      <c r="B355" s="2">
        <f t="shared" si="1"/>
        <v>46313</v>
      </c>
      <c r="C355" s="1" t="s">
        <v>1109</v>
      </c>
      <c r="D355" s="3" t="str">
        <f t="shared" si="2"/>
        <v>SUJI</v>
      </c>
      <c r="E355" s="3" t="str">
        <f t="shared" si="3"/>
        <v>ANDHRA PRADESH</v>
      </c>
      <c r="F355" s="3" t="str">
        <f t="shared" si="4"/>
        <v>TIRUPATI</v>
      </c>
      <c r="G355" s="1" t="s">
        <v>1110</v>
      </c>
      <c r="H355" s="3" t="str">
        <f t="shared" si="5"/>
        <v>ELECTRONICS</v>
      </c>
      <c r="I355" s="3" t="str">
        <f t="shared" si="6"/>
        <v>WIRELESS EARBUDS</v>
      </c>
      <c r="J355" s="3">
        <f t="shared" si="7"/>
        <v>1</v>
      </c>
      <c r="K355" s="3">
        <f t="shared" si="8"/>
        <v>340</v>
      </c>
      <c r="L355" s="4">
        <f t="shared" si="9"/>
        <v>0.15</v>
      </c>
      <c r="M355" s="3">
        <f t="shared" si="10"/>
        <v>289</v>
      </c>
      <c r="N355" s="3">
        <f t="shared" si="11"/>
        <v>202</v>
      </c>
      <c r="O355" s="3">
        <f t="shared" si="12"/>
        <v>87</v>
      </c>
      <c r="P355" s="3" t="str">
        <f t="shared" si="13"/>
        <v>NET BANKING</v>
      </c>
      <c r="Q355" s="3" t="str">
        <f t="shared" si="14"/>
        <v>SHIPPED</v>
      </c>
    </row>
    <row r="356">
      <c r="A356" s="1" t="s">
        <v>1111</v>
      </c>
      <c r="B356" s="2">
        <f t="shared" si="1"/>
        <v>46195</v>
      </c>
      <c r="C356" s="1" t="s">
        <v>1112</v>
      </c>
      <c r="D356" s="3" t="str">
        <f t="shared" si="2"/>
        <v>RATHA</v>
      </c>
      <c r="E356" s="3" t="str">
        <f t="shared" si="3"/>
        <v>TELUGANA</v>
      </c>
      <c r="F356" s="3" t="str">
        <f t="shared" si="4"/>
        <v>HYDERABAD</v>
      </c>
      <c r="G356" s="1" t="s">
        <v>1113</v>
      </c>
      <c r="H356" s="3" t="str">
        <f t="shared" si="5"/>
        <v>SPORTS</v>
      </c>
      <c r="I356" s="3" t="str">
        <f t="shared" si="6"/>
        <v>FOOTBALL</v>
      </c>
      <c r="J356" s="3">
        <f t="shared" si="7"/>
        <v>4</v>
      </c>
      <c r="K356" s="3">
        <f t="shared" si="8"/>
        <v>570</v>
      </c>
      <c r="L356" s="4">
        <f t="shared" si="9"/>
        <v>0.5</v>
      </c>
      <c r="M356" s="3">
        <f t="shared" si="10"/>
        <v>1140</v>
      </c>
      <c r="N356" s="3">
        <f t="shared" si="11"/>
        <v>798</v>
      </c>
      <c r="O356" s="3">
        <f t="shared" si="12"/>
        <v>342</v>
      </c>
      <c r="P356" s="3" t="str">
        <f t="shared" si="13"/>
        <v>WALLET</v>
      </c>
      <c r="Q356" s="3" t="str">
        <f t="shared" si="14"/>
        <v>CANCELLED</v>
      </c>
    </row>
    <row r="357">
      <c r="A357" s="1" t="s">
        <v>1114</v>
      </c>
      <c r="B357" s="2">
        <f t="shared" si="1"/>
        <v>46026</v>
      </c>
      <c r="C357" s="1" t="s">
        <v>1115</v>
      </c>
      <c r="D357" s="3" t="str">
        <f t="shared" si="2"/>
        <v>SUSA</v>
      </c>
      <c r="E357" s="3" t="str">
        <f t="shared" si="3"/>
        <v>UTTHRA PRADESH</v>
      </c>
      <c r="F357" s="3" t="str">
        <f t="shared" si="4"/>
        <v>LUCKNOW</v>
      </c>
      <c r="G357" s="1" t="s">
        <v>1116</v>
      </c>
      <c r="H357" s="3" t="str">
        <f t="shared" si="5"/>
        <v>FOOD</v>
      </c>
      <c r="I357" s="3" t="str">
        <f t="shared" si="6"/>
        <v>BIRIYANI</v>
      </c>
      <c r="J357" s="3">
        <f t="shared" si="7"/>
        <v>2</v>
      </c>
      <c r="K357" s="3">
        <f t="shared" si="8"/>
        <v>178</v>
      </c>
      <c r="L357" s="4">
        <f t="shared" si="9"/>
        <v>0.1</v>
      </c>
      <c r="M357" s="3">
        <f t="shared" si="10"/>
        <v>320.4</v>
      </c>
      <c r="N357" s="3">
        <f t="shared" si="11"/>
        <v>224</v>
      </c>
      <c r="O357" s="3">
        <f t="shared" si="12"/>
        <v>96</v>
      </c>
      <c r="P357" s="3" t="str">
        <f t="shared" si="13"/>
        <v>UPI</v>
      </c>
      <c r="Q357" s="3" t="str">
        <f t="shared" si="14"/>
        <v>RETURNED</v>
      </c>
    </row>
    <row r="358">
      <c r="A358" s="1" t="s">
        <v>1117</v>
      </c>
      <c r="B358" s="2">
        <f t="shared" si="1"/>
        <v>46141</v>
      </c>
      <c r="C358" s="1" t="s">
        <v>1118</v>
      </c>
      <c r="D358" s="3" t="str">
        <f t="shared" si="2"/>
        <v>NIVE</v>
      </c>
      <c r="E358" s="3" t="str">
        <f t="shared" si="3"/>
        <v>GUJARAT</v>
      </c>
      <c r="F358" s="3" t="str">
        <f t="shared" si="4"/>
        <v>SURAT</v>
      </c>
      <c r="G358" s="1" t="s">
        <v>1119</v>
      </c>
      <c r="H358" s="3" t="str">
        <f t="shared" si="5"/>
        <v>DRESS</v>
      </c>
      <c r="I358" s="3" t="str">
        <f t="shared" si="6"/>
        <v>WOMEN WAERS</v>
      </c>
      <c r="J358" s="3">
        <f t="shared" si="7"/>
        <v>2</v>
      </c>
      <c r="K358" s="3">
        <f t="shared" si="8"/>
        <v>105</v>
      </c>
      <c r="L358" s="4">
        <f t="shared" si="9"/>
        <v>0.17</v>
      </c>
      <c r="M358" s="3">
        <f t="shared" si="10"/>
        <v>174.3</v>
      </c>
      <c r="N358" s="3">
        <f t="shared" si="11"/>
        <v>122</v>
      </c>
      <c r="O358" s="3">
        <f t="shared" si="12"/>
        <v>52</v>
      </c>
      <c r="P358" s="3" t="str">
        <f t="shared" si="13"/>
        <v>CARD</v>
      </c>
      <c r="Q358" s="3" t="str">
        <f t="shared" si="14"/>
        <v>DELIVERED</v>
      </c>
    </row>
    <row r="359">
      <c r="A359" s="1" t="s">
        <v>1120</v>
      </c>
      <c r="B359" s="2">
        <f t="shared" si="1"/>
        <v>46146</v>
      </c>
      <c r="C359" s="1" t="s">
        <v>1121</v>
      </c>
      <c r="D359" s="3" t="str">
        <f t="shared" si="2"/>
        <v>VINO</v>
      </c>
      <c r="E359" s="3" t="str">
        <f t="shared" si="3"/>
        <v>RAJASTHAN</v>
      </c>
      <c r="F359" s="3" t="str">
        <f t="shared" si="4"/>
        <v>JAIPUR</v>
      </c>
      <c r="G359" s="1" t="s">
        <v>1122</v>
      </c>
      <c r="H359" s="3" t="str">
        <f t="shared" si="5"/>
        <v>BEAUTY</v>
      </c>
      <c r="I359" s="3" t="str">
        <f t="shared" si="6"/>
        <v>KAJAL</v>
      </c>
      <c r="J359" s="3">
        <f t="shared" si="7"/>
        <v>5</v>
      </c>
      <c r="K359" s="3">
        <f t="shared" si="8"/>
        <v>267</v>
      </c>
      <c r="L359" s="4">
        <f t="shared" si="9"/>
        <v>0.2</v>
      </c>
      <c r="M359" s="3">
        <f t="shared" si="10"/>
        <v>1068</v>
      </c>
      <c r="N359" s="3">
        <f t="shared" si="11"/>
        <v>748</v>
      </c>
      <c r="O359" s="3">
        <f t="shared" si="12"/>
        <v>320</v>
      </c>
      <c r="P359" s="3" t="str">
        <f t="shared" si="13"/>
        <v>COD</v>
      </c>
      <c r="Q359" s="3" t="str">
        <f t="shared" si="14"/>
        <v>SHIPPED</v>
      </c>
    </row>
    <row r="360">
      <c r="A360" s="1" t="s">
        <v>1123</v>
      </c>
      <c r="B360" s="2">
        <f t="shared" si="1"/>
        <v>46102</v>
      </c>
      <c r="C360" s="1" t="s">
        <v>1124</v>
      </c>
      <c r="D360" s="3" t="str">
        <f t="shared" si="2"/>
        <v>ABI</v>
      </c>
      <c r="E360" s="3" t="str">
        <f t="shared" si="3"/>
        <v>WEST BENGAL</v>
      </c>
      <c r="F360" s="3" t="str">
        <f t="shared" si="4"/>
        <v>KOLKATA</v>
      </c>
      <c r="G360" s="1" t="s">
        <v>1125</v>
      </c>
      <c r="H360" s="3" t="str">
        <f t="shared" si="5"/>
        <v>HOME &amp; KITCHEN</v>
      </c>
      <c r="I360" s="3" t="str">
        <f t="shared" si="6"/>
        <v>MIXER GRAINDER</v>
      </c>
      <c r="J360" s="3">
        <f t="shared" si="7"/>
        <v>3</v>
      </c>
      <c r="K360" s="3">
        <f t="shared" si="8"/>
        <v>492</v>
      </c>
      <c r="L360" s="4">
        <f t="shared" si="9"/>
        <v>0.15</v>
      </c>
      <c r="M360" s="3">
        <f t="shared" si="10"/>
        <v>1254.6</v>
      </c>
      <c r="N360" s="3">
        <f t="shared" si="11"/>
        <v>878</v>
      </c>
      <c r="O360" s="3">
        <f t="shared" si="12"/>
        <v>377</v>
      </c>
      <c r="P360" s="3" t="str">
        <f t="shared" si="13"/>
        <v>NET BANKING</v>
      </c>
      <c r="Q360" s="3" t="str">
        <f t="shared" si="14"/>
        <v>CANCELLED</v>
      </c>
    </row>
    <row r="361">
      <c r="A361" s="1" t="s">
        <v>1126</v>
      </c>
      <c r="B361" s="2">
        <f t="shared" si="1"/>
        <v>46368</v>
      </c>
      <c r="C361" s="1" t="s">
        <v>1127</v>
      </c>
      <c r="D361" s="3" t="str">
        <f t="shared" si="2"/>
        <v>NIHAAR</v>
      </c>
      <c r="E361" s="3" t="str">
        <f t="shared" si="3"/>
        <v>MAGARASTRA</v>
      </c>
      <c r="F361" s="3" t="str">
        <f t="shared" si="4"/>
        <v>PUNE</v>
      </c>
      <c r="G361" s="1" t="s">
        <v>1128</v>
      </c>
      <c r="H361" s="3" t="str">
        <f t="shared" si="5"/>
        <v>BOOKS</v>
      </c>
      <c r="I361" s="3" t="str">
        <f t="shared" si="6"/>
        <v>LIFE OF PI</v>
      </c>
      <c r="J361" s="3">
        <f t="shared" si="7"/>
        <v>4</v>
      </c>
      <c r="K361" s="3">
        <f t="shared" si="8"/>
        <v>115</v>
      </c>
      <c r="L361" s="4">
        <f t="shared" si="9"/>
        <v>0.2</v>
      </c>
      <c r="M361" s="3">
        <f t="shared" si="10"/>
        <v>368</v>
      </c>
      <c r="N361" s="3">
        <f t="shared" si="11"/>
        <v>258</v>
      </c>
      <c r="O361" s="3">
        <f t="shared" si="12"/>
        <v>110</v>
      </c>
      <c r="P361" s="3" t="str">
        <f t="shared" si="13"/>
        <v>WALLET</v>
      </c>
      <c r="Q361" s="3" t="str">
        <f t="shared" si="14"/>
        <v>RETURNED</v>
      </c>
    </row>
    <row r="362">
      <c r="A362" s="1" t="s">
        <v>1129</v>
      </c>
      <c r="B362" s="2">
        <f t="shared" si="1"/>
        <v>46293</v>
      </c>
      <c r="C362" s="1" t="s">
        <v>1130</v>
      </c>
      <c r="D362" s="3" t="str">
        <f t="shared" si="2"/>
        <v>SRI</v>
      </c>
      <c r="E362" s="3" t="str">
        <f t="shared" si="3"/>
        <v>TAMILNADU</v>
      </c>
      <c r="F362" s="3" t="str">
        <f t="shared" si="4"/>
        <v>THOOTHUKUDI</v>
      </c>
      <c r="G362" s="1" t="s">
        <v>1131</v>
      </c>
      <c r="H362" s="3" t="str">
        <f t="shared" si="5"/>
        <v>ACCESSORIES</v>
      </c>
      <c r="I362" s="3" t="str">
        <f t="shared" si="6"/>
        <v>EARRINGS</v>
      </c>
      <c r="J362" s="3">
        <f t="shared" si="7"/>
        <v>1</v>
      </c>
      <c r="K362" s="3">
        <f t="shared" si="8"/>
        <v>344</v>
      </c>
      <c r="L362" s="4">
        <f t="shared" si="9"/>
        <v>0.2</v>
      </c>
      <c r="M362" s="3">
        <f t="shared" si="10"/>
        <v>275.2</v>
      </c>
      <c r="N362" s="3">
        <f t="shared" si="11"/>
        <v>193</v>
      </c>
      <c r="O362" s="3">
        <f t="shared" si="12"/>
        <v>82</v>
      </c>
      <c r="P362" s="3" t="str">
        <f t="shared" si="13"/>
        <v>UPI</v>
      </c>
      <c r="Q362" s="3" t="str">
        <f t="shared" si="14"/>
        <v>DELIVERED</v>
      </c>
    </row>
    <row r="363">
      <c r="A363" s="1" t="s">
        <v>1132</v>
      </c>
      <c r="B363" s="2">
        <f t="shared" si="1"/>
        <v>46337</v>
      </c>
      <c r="C363" s="1" t="s">
        <v>1133</v>
      </c>
      <c r="D363" s="3" t="str">
        <f t="shared" si="2"/>
        <v>SHOBN</v>
      </c>
      <c r="E363" s="3" t="str">
        <f t="shared" si="3"/>
        <v>KERALA</v>
      </c>
      <c r="F363" s="3" t="str">
        <f t="shared" si="4"/>
        <v>KOCHI</v>
      </c>
      <c r="G363" s="1" t="s">
        <v>1134</v>
      </c>
      <c r="H363" s="3" t="str">
        <f t="shared" si="5"/>
        <v>ELECTRONICS</v>
      </c>
      <c r="I363" s="3" t="str">
        <f t="shared" si="6"/>
        <v>WIRELESS EARBUDS</v>
      </c>
      <c r="J363" s="3">
        <f t="shared" si="7"/>
        <v>3</v>
      </c>
      <c r="K363" s="3">
        <f t="shared" si="8"/>
        <v>283</v>
      </c>
      <c r="L363" s="4">
        <f t="shared" si="9"/>
        <v>0.2</v>
      </c>
      <c r="M363" s="3">
        <f t="shared" si="10"/>
        <v>679.2</v>
      </c>
      <c r="N363" s="3">
        <f t="shared" si="11"/>
        <v>475</v>
      </c>
      <c r="O363" s="3">
        <f t="shared" si="12"/>
        <v>204</v>
      </c>
      <c r="P363" s="3" t="str">
        <f t="shared" si="13"/>
        <v>CARD</v>
      </c>
      <c r="Q363" s="3" t="str">
        <f t="shared" si="14"/>
        <v>SHIPPED</v>
      </c>
    </row>
    <row r="364">
      <c r="A364" s="1" t="s">
        <v>1135</v>
      </c>
      <c r="B364" s="2">
        <f t="shared" si="1"/>
        <v>46369</v>
      </c>
      <c r="C364" s="1" t="s">
        <v>1136</v>
      </c>
      <c r="D364" s="3" t="str">
        <f t="shared" si="2"/>
        <v>SOBI</v>
      </c>
      <c r="E364" s="3" t="str">
        <f t="shared" si="3"/>
        <v>KARNATAKA</v>
      </c>
      <c r="F364" s="3" t="str">
        <f t="shared" si="4"/>
        <v>BANGALURU</v>
      </c>
      <c r="G364" s="1" t="s">
        <v>1137</v>
      </c>
      <c r="H364" s="3" t="str">
        <f t="shared" si="5"/>
        <v>SPORTS</v>
      </c>
      <c r="I364" s="3" t="str">
        <f t="shared" si="6"/>
        <v>FOOTBALL</v>
      </c>
      <c r="J364" s="3">
        <f t="shared" si="7"/>
        <v>5</v>
      </c>
      <c r="K364" s="3">
        <f t="shared" si="8"/>
        <v>461</v>
      </c>
      <c r="L364" s="4">
        <f t="shared" si="9"/>
        <v>0.5</v>
      </c>
      <c r="M364" s="3">
        <f t="shared" si="10"/>
        <v>1152.5</v>
      </c>
      <c r="N364" s="3">
        <f t="shared" si="11"/>
        <v>807</v>
      </c>
      <c r="O364" s="3">
        <f t="shared" si="12"/>
        <v>346</v>
      </c>
      <c r="P364" s="3" t="str">
        <f t="shared" si="13"/>
        <v>COD</v>
      </c>
      <c r="Q364" s="3" t="str">
        <f t="shared" si="14"/>
        <v>CANCELLED</v>
      </c>
    </row>
    <row r="365">
      <c r="A365" s="1" t="s">
        <v>1138</v>
      </c>
      <c r="B365" s="2">
        <f t="shared" si="1"/>
        <v>46091</v>
      </c>
      <c r="C365" s="1" t="s">
        <v>1139</v>
      </c>
      <c r="D365" s="3" t="str">
        <f t="shared" si="2"/>
        <v>SUJI</v>
      </c>
      <c r="E365" s="3" t="str">
        <f t="shared" si="3"/>
        <v>ANDHRA PRADESH</v>
      </c>
      <c r="F365" s="3" t="str">
        <f t="shared" si="4"/>
        <v>TIRUPATI</v>
      </c>
      <c r="G365" s="1" t="s">
        <v>1140</v>
      </c>
      <c r="H365" s="3" t="str">
        <f t="shared" si="5"/>
        <v>FOOD</v>
      </c>
      <c r="I365" s="3" t="str">
        <f t="shared" si="6"/>
        <v>BIRIYANI</v>
      </c>
      <c r="J365" s="3">
        <f t="shared" si="7"/>
        <v>1</v>
      </c>
      <c r="K365" s="3">
        <f t="shared" si="8"/>
        <v>387</v>
      </c>
      <c r="L365" s="4">
        <f t="shared" si="9"/>
        <v>0.15</v>
      </c>
      <c r="M365" s="3">
        <f t="shared" si="10"/>
        <v>328.95</v>
      </c>
      <c r="N365" s="3">
        <f t="shared" si="11"/>
        <v>230</v>
      </c>
      <c r="O365" s="3">
        <f t="shared" si="12"/>
        <v>99</v>
      </c>
      <c r="P365" s="3" t="str">
        <f t="shared" si="13"/>
        <v>NET BANKING</v>
      </c>
      <c r="Q365" s="3" t="str">
        <f t="shared" si="14"/>
        <v>RETURNED</v>
      </c>
    </row>
    <row r="366">
      <c r="A366" s="1" t="s">
        <v>1141</v>
      </c>
      <c r="B366" s="2">
        <f t="shared" si="1"/>
        <v>46250</v>
      </c>
      <c r="C366" s="1" t="s">
        <v>1142</v>
      </c>
      <c r="D366" s="3" t="str">
        <f t="shared" si="2"/>
        <v>RATHA</v>
      </c>
      <c r="E366" s="3" t="str">
        <f t="shared" si="3"/>
        <v>TELUGANA</v>
      </c>
      <c r="F366" s="3" t="str">
        <f t="shared" si="4"/>
        <v>HYDERABAD</v>
      </c>
      <c r="G366" s="1" t="s">
        <v>1143</v>
      </c>
      <c r="H366" s="3" t="str">
        <f t="shared" si="5"/>
        <v>DRESS</v>
      </c>
      <c r="I366" s="3" t="str">
        <f t="shared" si="6"/>
        <v>WOMEN WAERS</v>
      </c>
      <c r="J366" s="3">
        <f t="shared" si="7"/>
        <v>2</v>
      </c>
      <c r="K366" s="3">
        <f t="shared" si="8"/>
        <v>220</v>
      </c>
      <c r="L366" s="4">
        <f t="shared" si="9"/>
        <v>0</v>
      </c>
      <c r="M366" s="3">
        <f t="shared" si="10"/>
        <v>440</v>
      </c>
      <c r="N366" s="3">
        <f t="shared" si="11"/>
        <v>308</v>
      </c>
      <c r="O366" s="3">
        <f t="shared" si="12"/>
        <v>132</v>
      </c>
      <c r="P366" s="3" t="str">
        <f t="shared" si="13"/>
        <v>WALLET</v>
      </c>
      <c r="Q366" s="3" t="str">
        <f t="shared" si="14"/>
        <v>DELIVERED</v>
      </c>
    </row>
    <row r="367">
      <c r="A367" s="1" t="s">
        <v>1144</v>
      </c>
      <c r="B367" s="2">
        <f t="shared" si="1"/>
        <v>46335</v>
      </c>
      <c r="C367" s="1" t="s">
        <v>1145</v>
      </c>
      <c r="D367" s="3" t="str">
        <f t="shared" si="2"/>
        <v>SUSA</v>
      </c>
      <c r="E367" s="3" t="str">
        <f t="shared" si="3"/>
        <v>UTTHRA PRADESH</v>
      </c>
      <c r="F367" s="3" t="str">
        <f t="shared" si="4"/>
        <v>LUCKNOW</v>
      </c>
      <c r="G367" s="1" t="s">
        <v>1146</v>
      </c>
      <c r="H367" s="3" t="str">
        <f t="shared" si="5"/>
        <v>BEAUTY</v>
      </c>
      <c r="I367" s="3" t="str">
        <f t="shared" si="6"/>
        <v>KAJAL</v>
      </c>
      <c r="J367" s="3">
        <f t="shared" si="7"/>
        <v>4</v>
      </c>
      <c r="K367" s="3">
        <f t="shared" si="8"/>
        <v>513</v>
      </c>
      <c r="L367" s="4">
        <f t="shared" si="9"/>
        <v>0.17</v>
      </c>
      <c r="M367" s="3">
        <f t="shared" si="10"/>
        <v>1703.16</v>
      </c>
      <c r="N367" s="3">
        <f t="shared" si="11"/>
        <v>1192</v>
      </c>
      <c r="O367" s="3">
        <f t="shared" si="12"/>
        <v>511</v>
      </c>
      <c r="P367" s="3" t="str">
        <f t="shared" si="13"/>
        <v>UPI</v>
      </c>
      <c r="Q367" s="3" t="str">
        <f t="shared" si="14"/>
        <v>SHIPPED</v>
      </c>
    </row>
    <row r="368">
      <c r="A368" s="1" t="s">
        <v>1147</v>
      </c>
      <c r="B368" s="2">
        <f t="shared" si="1"/>
        <v>46040</v>
      </c>
      <c r="C368" s="1" t="s">
        <v>1148</v>
      </c>
      <c r="D368" s="3" t="str">
        <f t="shared" si="2"/>
        <v>NIVE</v>
      </c>
      <c r="E368" s="3" t="str">
        <f t="shared" si="3"/>
        <v>GUJARAT</v>
      </c>
      <c r="F368" s="3" t="str">
        <f t="shared" si="4"/>
        <v>SURAT</v>
      </c>
      <c r="G368" s="1" t="s">
        <v>1149</v>
      </c>
      <c r="H368" s="3" t="str">
        <f t="shared" si="5"/>
        <v>HOME &amp; KITCHEN</v>
      </c>
      <c r="I368" s="3" t="str">
        <f t="shared" si="6"/>
        <v>MIXER GRAINDER</v>
      </c>
      <c r="J368" s="3">
        <f t="shared" si="7"/>
        <v>3</v>
      </c>
      <c r="K368" s="3">
        <f t="shared" si="8"/>
        <v>406</v>
      </c>
      <c r="L368" s="4">
        <f t="shared" si="9"/>
        <v>0</v>
      </c>
      <c r="M368" s="3">
        <f t="shared" si="10"/>
        <v>1218</v>
      </c>
      <c r="N368" s="3">
        <f t="shared" si="11"/>
        <v>853</v>
      </c>
      <c r="O368" s="3">
        <f t="shared" si="12"/>
        <v>365</v>
      </c>
      <c r="P368" s="3" t="str">
        <f t="shared" si="13"/>
        <v>CARD</v>
      </c>
      <c r="Q368" s="3" t="str">
        <f t="shared" si="14"/>
        <v>CANCELLED</v>
      </c>
    </row>
    <row r="369">
      <c r="A369" s="1" t="s">
        <v>1150</v>
      </c>
      <c r="B369" s="2">
        <f t="shared" si="1"/>
        <v>46301</v>
      </c>
      <c r="C369" s="1" t="s">
        <v>1151</v>
      </c>
      <c r="D369" s="3" t="str">
        <f t="shared" si="2"/>
        <v>VINO</v>
      </c>
      <c r="E369" s="3" t="str">
        <f t="shared" si="3"/>
        <v>RAJASTHAN</v>
      </c>
      <c r="F369" s="3" t="str">
        <f t="shared" si="4"/>
        <v>JAIPUR</v>
      </c>
      <c r="G369" s="1" t="s">
        <v>1152</v>
      </c>
      <c r="H369" s="3" t="str">
        <f t="shared" si="5"/>
        <v>BOOKS</v>
      </c>
      <c r="I369" s="3" t="str">
        <f t="shared" si="6"/>
        <v>LIFE OF PI</v>
      </c>
      <c r="J369" s="3">
        <f t="shared" si="7"/>
        <v>4</v>
      </c>
      <c r="K369" s="3">
        <f t="shared" si="8"/>
        <v>320</v>
      </c>
      <c r="L369" s="4">
        <f t="shared" si="9"/>
        <v>0</v>
      </c>
      <c r="M369" s="3">
        <f t="shared" si="10"/>
        <v>1280</v>
      </c>
      <c r="N369" s="3">
        <f t="shared" si="11"/>
        <v>896</v>
      </c>
      <c r="O369" s="3">
        <f t="shared" si="12"/>
        <v>384</v>
      </c>
      <c r="P369" s="3" t="str">
        <f t="shared" si="13"/>
        <v>COD</v>
      </c>
      <c r="Q369" s="3" t="str">
        <f t="shared" si="14"/>
        <v>RETURNED</v>
      </c>
    </row>
    <row r="370">
      <c r="A370" s="1" t="s">
        <v>1153</v>
      </c>
      <c r="B370" s="2">
        <f t="shared" si="1"/>
        <v>46155</v>
      </c>
      <c r="C370" s="1" t="s">
        <v>1154</v>
      </c>
      <c r="D370" s="3" t="str">
        <f t="shared" si="2"/>
        <v>ABI</v>
      </c>
      <c r="E370" s="3" t="str">
        <f t="shared" si="3"/>
        <v>WEST BENGAL</v>
      </c>
      <c r="F370" s="3" t="str">
        <f t="shared" si="4"/>
        <v>KOLKATA</v>
      </c>
      <c r="G370" s="1" t="s">
        <v>1155</v>
      </c>
      <c r="H370" s="3" t="str">
        <f t="shared" si="5"/>
        <v>ACCESSORIES</v>
      </c>
      <c r="I370" s="3" t="str">
        <f t="shared" si="6"/>
        <v>EARRINGS</v>
      </c>
      <c r="J370" s="3">
        <f t="shared" si="7"/>
        <v>4</v>
      </c>
      <c r="K370" s="3">
        <f t="shared" si="8"/>
        <v>515</v>
      </c>
      <c r="L370" s="4">
        <f t="shared" si="9"/>
        <v>0.2</v>
      </c>
      <c r="M370" s="3">
        <f t="shared" si="10"/>
        <v>1648</v>
      </c>
      <c r="N370" s="3">
        <f t="shared" si="11"/>
        <v>1154</v>
      </c>
      <c r="O370" s="3">
        <f t="shared" si="12"/>
        <v>494</v>
      </c>
      <c r="P370" s="3" t="str">
        <f t="shared" si="13"/>
        <v>NET BANKING</v>
      </c>
      <c r="Q370" s="3" t="str">
        <f t="shared" si="14"/>
        <v>DELIVERED</v>
      </c>
    </row>
    <row r="371">
      <c r="A371" s="1" t="s">
        <v>1156</v>
      </c>
      <c r="B371" s="2">
        <f t="shared" si="1"/>
        <v>46313</v>
      </c>
      <c r="C371" s="1" t="s">
        <v>1157</v>
      </c>
      <c r="D371" s="3" t="str">
        <f t="shared" si="2"/>
        <v>NIHAAR</v>
      </c>
      <c r="E371" s="3" t="str">
        <f t="shared" si="3"/>
        <v>MAGARASTRA</v>
      </c>
      <c r="F371" s="3" t="str">
        <f t="shared" si="4"/>
        <v>PUNE</v>
      </c>
      <c r="G371" s="1" t="s">
        <v>1158</v>
      </c>
      <c r="H371" s="3" t="str">
        <f t="shared" si="5"/>
        <v>ELECTRONICS</v>
      </c>
      <c r="I371" s="3" t="str">
        <f t="shared" si="6"/>
        <v>WIRELESS EARBUDS</v>
      </c>
      <c r="J371" s="3">
        <f t="shared" si="7"/>
        <v>2</v>
      </c>
      <c r="K371" s="3">
        <f t="shared" si="8"/>
        <v>100</v>
      </c>
      <c r="L371" s="4">
        <f t="shared" si="9"/>
        <v>0.17</v>
      </c>
      <c r="M371" s="3">
        <f t="shared" si="10"/>
        <v>166</v>
      </c>
      <c r="N371" s="3">
        <f t="shared" si="11"/>
        <v>116</v>
      </c>
      <c r="O371" s="3">
        <f t="shared" si="12"/>
        <v>50</v>
      </c>
      <c r="P371" s="3" t="str">
        <f t="shared" si="13"/>
        <v>WALLET</v>
      </c>
      <c r="Q371" s="3" t="str">
        <f t="shared" si="14"/>
        <v>SHIPPED</v>
      </c>
    </row>
    <row r="372">
      <c r="A372" s="1" t="s">
        <v>1159</v>
      </c>
      <c r="B372" s="2">
        <f t="shared" si="1"/>
        <v>46155</v>
      </c>
      <c r="C372" s="1" t="s">
        <v>1160</v>
      </c>
      <c r="D372" s="3" t="str">
        <f t="shared" si="2"/>
        <v>SRI</v>
      </c>
      <c r="E372" s="3" t="str">
        <f t="shared" si="3"/>
        <v>TAMILNADU</v>
      </c>
      <c r="F372" s="3" t="str">
        <f t="shared" si="4"/>
        <v>THOOTHUKUDI</v>
      </c>
      <c r="G372" s="1" t="s">
        <v>1161</v>
      </c>
      <c r="H372" s="3" t="str">
        <f t="shared" si="5"/>
        <v>SPORTS</v>
      </c>
      <c r="I372" s="3" t="str">
        <f t="shared" si="6"/>
        <v>FOOTBALL</v>
      </c>
      <c r="J372" s="3">
        <f t="shared" si="7"/>
        <v>4</v>
      </c>
      <c r="K372" s="3">
        <f t="shared" si="8"/>
        <v>112</v>
      </c>
      <c r="L372" s="4">
        <f t="shared" si="9"/>
        <v>0.17</v>
      </c>
      <c r="M372" s="3">
        <f t="shared" si="10"/>
        <v>371.84</v>
      </c>
      <c r="N372" s="3">
        <f t="shared" si="11"/>
        <v>260</v>
      </c>
      <c r="O372" s="3">
        <f t="shared" si="12"/>
        <v>112</v>
      </c>
      <c r="P372" s="3" t="str">
        <f t="shared" si="13"/>
        <v>UPI</v>
      </c>
      <c r="Q372" s="3" t="str">
        <f t="shared" si="14"/>
        <v>CANCELLED</v>
      </c>
    </row>
    <row r="373">
      <c r="A373" s="1" t="s">
        <v>1162</v>
      </c>
      <c r="B373" s="2">
        <f t="shared" si="1"/>
        <v>46232</v>
      </c>
      <c r="C373" s="1" t="s">
        <v>1163</v>
      </c>
      <c r="D373" s="3" t="str">
        <f t="shared" si="2"/>
        <v>SHOBN</v>
      </c>
      <c r="E373" s="3" t="str">
        <f t="shared" si="3"/>
        <v>KERALA</v>
      </c>
      <c r="F373" s="3" t="str">
        <f t="shared" si="4"/>
        <v>KOCHI</v>
      </c>
      <c r="G373" s="1" t="s">
        <v>1164</v>
      </c>
      <c r="H373" s="3" t="str">
        <f t="shared" si="5"/>
        <v>FOOD</v>
      </c>
      <c r="I373" s="3" t="str">
        <f t="shared" si="6"/>
        <v>BIRIYANI</v>
      </c>
      <c r="J373" s="3">
        <f t="shared" si="7"/>
        <v>3</v>
      </c>
      <c r="K373" s="3">
        <f t="shared" si="8"/>
        <v>523</v>
      </c>
      <c r="L373" s="4">
        <f t="shared" si="9"/>
        <v>0.17</v>
      </c>
      <c r="M373" s="3">
        <f t="shared" si="10"/>
        <v>1302.27</v>
      </c>
      <c r="N373" s="3">
        <f t="shared" si="11"/>
        <v>912</v>
      </c>
      <c r="O373" s="3">
        <f t="shared" si="12"/>
        <v>390</v>
      </c>
      <c r="P373" s="3" t="str">
        <f t="shared" si="13"/>
        <v>CARD</v>
      </c>
      <c r="Q373" s="3" t="str">
        <f t="shared" si="14"/>
        <v>RETURNED</v>
      </c>
    </row>
    <row r="374">
      <c r="A374" s="1" t="s">
        <v>1165</v>
      </c>
      <c r="B374" s="2">
        <f t="shared" si="1"/>
        <v>46243</v>
      </c>
      <c r="C374" s="1" t="s">
        <v>1166</v>
      </c>
      <c r="D374" s="3" t="str">
        <f t="shared" si="2"/>
        <v>SOBI</v>
      </c>
      <c r="E374" s="3" t="str">
        <f t="shared" si="3"/>
        <v>KARNATAKA</v>
      </c>
      <c r="F374" s="3" t="str">
        <f t="shared" si="4"/>
        <v>BANGALURU</v>
      </c>
      <c r="G374" s="1" t="s">
        <v>1167</v>
      </c>
      <c r="H374" s="3" t="str">
        <f t="shared" si="5"/>
        <v>DRESS</v>
      </c>
      <c r="I374" s="3" t="str">
        <f t="shared" si="6"/>
        <v>WOMEN WAERS</v>
      </c>
      <c r="J374" s="3">
        <f t="shared" si="7"/>
        <v>4</v>
      </c>
      <c r="K374" s="3">
        <f t="shared" si="8"/>
        <v>297</v>
      </c>
      <c r="L374" s="4">
        <f t="shared" si="9"/>
        <v>0.2</v>
      </c>
      <c r="M374" s="3">
        <f t="shared" si="10"/>
        <v>950.4</v>
      </c>
      <c r="N374" s="3">
        <f t="shared" si="11"/>
        <v>665</v>
      </c>
      <c r="O374" s="3">
        <f t="shared" si="12"/>
        <v>285</v>
      </c>
      <c r="P374" s="3" t="str">
        <f t="shared" si="13"/>
        <v>COD</v>
      </c>
      <c r="Q374" s="3" t="str">
        <f t="shared" si="14"/>
        <v>DELIVERED</v>
      </c>
    </row>
    <row r="375">
      <c r="A375" s="1" t="s">
        <v>1168</v>
      </c>
      <c r="B375" s="2">
        <f t="shared" si="1"/>
        <v>46108</v>
      </c>
      <c r="C375" s="1" t="s">
        <v>1169</v>
      </c>
      <c r="D375" s="3" t="str">
        <f t="shared" si="2"/>
        <v>SUJI</v>
      </c>
      <c r="E375" s="3" t="str">
        <f t="shared" si="3"/>
        <v>ANDHRA PRADESH</v>
      </c>
      <c r="F375" s="3" t="str">
        <f t="shared" si="4"/>
        <v>TIRUPATI</v>
      </c>
      <c r="G375" s="1" t="s">
        <v>1170</v>
      </c>
      <c r="H375" s="3" t="str">
        <f t="shared" si="5"/>
        <v>BEAUTY</v>
      </c>
      <c r="I375" s="3" t="str">
        <f t="shared" si="6"/>
        <v>KAJAL</v>
      </c>
      <c r="J375" s="3">
        <f t="shared" si="7"/>
        <v>5</v>
      </c>
      <c r="K375" s="3">
        <f t="shared" si="8"/>
        <v>184</v>
      </c>
      <c r="L375" s="4">
        <f t="shared" si="9"/>
        <v>0.1</v>
      </c>
      <c r="M375" s="3">
        <f t="shared" si="10"/>
        <v>828</v>
      </c>
      <c r="N375" s="3">
        <f t="shared" si="11"/>
        <v>580</v>
      </c>
      <c r="O375" s="3">
        <f t="shared" si="12"/>
        <v>248</v>
      </c>
      <c r="P375" s="3" t="str">
        <f t="shared" si="13"/>
        <v>NET BANKING</v>
      </c>
      <c r="Q375" s="3" t="str">
        <f t="shared" si="14"/>
        <v>SHIPPED</v>
      </c>
    </row>
    <row r="376">
      <c r="A376" s="1" t="s">
        <v>1171</v>
      </c>
      <c r="B376" s="2">
        <f t="shared" si="1"/>
        <v>46364</v>
      </c>
      <c r="C376" s="1" t="s">
        <v>1172</v>
      </c>
      <c r="D376" s="3" t="str">
        <f t="shared" si="2"/>
        <v>RATHA</v>
      </c>
      <c r="E376" s="3" t="str">
        <f t="shared" si="3"/>
        <v>TELUGANA</v>
      </c>
      <c r="F376" s="3" t="str">
        <f t="shared" si="4"/>
        <v>HYDERABAD</v>
      </c>
      <c r="G376" s="1" t="s">
        <v>1173</v>
      </c>
      <c r="H376" s="3" t="str">
        <f t="shared" si="5"/>
        <v>HOME &amp; KITCHEN</v>
      </c>
      <c r="I376" s="3" t="str">
        <f t="shared" si="6"/>
        <v>MIXER GRAINDER</v>
      </c>
      <c r="J376" s="3">
        <f t="shared" si="7"/>
        <v>1</v>
      </c>
      <c r="K376" s="3">
        <f t="shared" si="8"/>
        <v>342</v>
      </c>
      <c r="L376" s="4">
        <f t="shared" si="9"/>
        <v>0.17</v>
      </c>
      <c r="M376" s="3">
        <f t="shared" si="10"/>
        <v>283.86</v>
      </c>
      <c r="N376" s="3">
        <f t="shared" si="11"/>
        <v>199</v>
      </c>
      <c r="O376" s="3">
        <f t="shared" si="12"/>
        <v>85</v>
      </c>
      <c r="P376" s="3" t="str">
        <f t="shared" si="13"/>
        <v>WALLET</v>
      </c>
      <c r="Q376" s="3" t="str">
        <f t="shared" si="14"/>
        <v>CANCELLED</v>
      </c>
    </row>
    <row r="377">
      <c r="A377" s="1" t="s">
        <v>1174</v>
      </c>
      <c r="B377" s="2">
        <f t="shared" si="1"/>
        <v>46249</v>
      </c>
      <c r="C377" s="1" t="s">
        <v>1175</v>
      </c>
      <c r="D377" s="3" t="str">
        <f t="shared" si="2"/>
        <v>SUSA</v>
      </c>
      <c r="E377" s="3" t="str">
        <f t="shared" si="3"/>
        <v>UTTHRA PRADESH</v>
      </c>
      <c r="F377" s="3" t="str">
        <f t="shared" si="4"/>
        <v>LUCKNOW</v>
      </c>
      <c r="G377" s="1" t="s">
        <v>1176</v>
      </c>
      <c r="H377" s="3" t="str">
        <f t="shared" si="5"/>
        <v>BOOKS</v>
      </c>
      <c r="I377" s="3" t="str">
        <f t="shared" si="6"/>
        <v>LIFE OF PI</v>
      </c>
      <c r="J377" s="3">
        <f t="shared" si="7"/>
        <v>4</v>
      </c>
      <c r="K377" s="3">
        <f t="shared" si="8"/>
        <v>351</v>
      </c>
      <c r="L377" s="4">
        <f t="shared" si="9"/>
        <v>0.1</v>
      </c>
      <c r="M377" s="3">
        <f t="shared" si="10"/>
        <v>1263.6</v>
      </c>
      <c r="N377" s="3">
        <f t="shared" si="11"/>
        <v>885</v>
      </c>
      <c r="O377" s="3">
        <f t="shared" si="12"/>
        <v>379</v>
      </c>
      <c r="P377" s="3" t="str">
        <f t="shared" si="13"/>
        <v>UPI</v>
      </c>
      <c r="Q377" s="3" t="str">
        <f t="shared" si="14"/>
        <v>RETURNED</v>
      </c>
    </row>
    <row r="378">
      <c r="A378" s="1" t="s">
        <v>1177</v>
      </c>
      <c r="B378" s="2">
        <f t="shared" si="1"/>
        <v>46193</v>
      </c>
      <c r="C378" s="1" t="s">
        <v>1178</v>
      </c>
      <c r="D378" s="3" t="str">
        <f t="shared" si="2"/>
        <v>NIVE</v>
      </c>
      <c r="E378" s="3" t="str">
        <f t="shared" si="3"/>
        <v>GUJARAT</v>
      </c>
      <c r="F378" s="3" t="str">
        <f t="shared" si="4"/>
        <v>SURAT</v>
      </c>
      <c r="G378" s="1" t="s">
        <v>1179</v>
      </c>
      <c r="H378" s="3" t="str">
        <f t="shared" si="5"/>
        <v>ACCESSORIES</v>
      </c>
      <c r="I378" s="3" t="str">
        <f t="shared" si="6"/>
        <v>EARRINGS</v>
      </c>
      <c r="J378" s="3">
        <f t="shared" si="7"/>
        <v>3</v>
      </c>
      <c r="K378" s="3">
        <f t="shared" si="8"/>
        <v>260</v>
      </c>
      <c r="L378" s="4">
        <f t="shared" si="9"/>
        <v>0</v>
      </c>
      <c r="M378" s="3">
        <f t="shared" si="10"/>
        <v>780</v>
      </c>
      <c r="N378" s="3">
        <f t="shared" si="11"/>
        <v>546</v>
      </c>
      <c r="O378" s="3">
        <f t="shared" si="12"/>
        <v>234</v>
      </c>
      <c r="P378" s="3" t="str">
        <f t="shared" si="13"/>
        <v>CARD</v>
      </c>
      <c r="Q378" s="3" t="str">
        <f t="shared" si="14"/>
        <v>DELIVERED</v>
      </c>
    </row>
    <row r="379">
      <c r="A379" s="1" t="s">
        <v>1180</v>
      </c>
      <c r="B379" s="2">
        <f t="shared" si="1"/>
        <v>46325</v>
      </c>
      <c r="C379" s="1" t="s">
        <v>1181</v>
      </c>
      <c r="D379" s="3" t="str">
        <f t="shared" si="2"/>
        <v>VINO</v>
      </c>
      <c r="E379" s="3" t="str">
        <f t="shared" si="3"/>
        <v>RAJASTHAN</v>
      </c>
      <c r="F379" s="3" t="str">
        <f t="shared" si="4"/>
        <v>JAIPUR</v>
      </c>
      <c r="G379" s="1" t="s">
        <v>1182</v>
      </c>
      <c r="H379" s="3" t="str">
        <f t="shared" si="5"/>
        <v>ELECTRONICS</v>
      </c>
      <c r="I379" s="3" t="str">
        <f t="shared" si="6"/>
        <v>WIRELESS EARBUDS</v>
      </c>
      <c r="J379" s="3">
        <f t="shared" si="7"/>
        <v>3</v>
      </c>
      <c r="K379" s="3">
        <f t="shared" si="8"/>
        <v>587</v>
      </c>
      <c r="L379" s="4">
        <f t="shared" si="9"/>
        <v>0</v>
      </c>
      <c r="M379" s="3">
        <f t="shared" si="10"/>
        <v>1761</v>
      </c>
      <c r="N379" s="3">
        <f t="shared" si="11"/>
        <v>1233</v>
      </c>
      <c r="O379" s="3">
        <f t="shared" si="12"/>
        <v>528</v>
      </c>
      <c r="P379" s="3" t="str">
        <f t="shared" si="13"/>
        <v>COD</v>
      </c>
      <c r="Q379" s="3" t="str">
        <f t="shared" si="14"/>
        <v>SHIPPED</v>
      </c>
    </row>
    <row r="380">
      <c r="A380" s="1" t="s">
        <v>1183</v>
      </c>
      <c r="B380" s="2">
        <f t="shared" si="1"/>
        <v>46237</v>
      </c>
      <c r="C380" s="1" t="s">
        <v>1184</v>
      </c>
      <c r="D380" s="3" t="str">
        <f t="shared" si="2"/>
        <v>ABI</v>
      </c>
      <c r="E380" s="3" t="str">
        <f t="shared" si="3"/>
        <v>WEST BENGAL</v>
      </c>
      <c r="F380" s="3" t="str">
        <f t="shared" si="4"/>
        <v>KOLKATA</v>
      </c>
      <c r="G380" s="1" t="s">
        <v>1185</v>
      </c>
      <c r="H380" s="3" t="str">
        <f t="shared" si="5"/>
        <v>SPORTS</v>
      </c>
      <c r="I380" s="3" t="str">
        <f t="shared" si="6"/>
        <v>FOOTBALL</v>
      </c>
      <c r="J380" s="3">
        <f t="shared" si="7"/>
        <v>2</v>
      </c>
      <c r="K380" s="3">
        <f t="shared" si="8"/>
        <v>136</v>
      </c>
      <c r="L380" s="4">
        <f t="shared" si="9"/>
        <v>0.15</v>
      </c>
      <c r="M380" s="3">
        <f t="shared" si="10"/>
        <v>231.2</v>
      </c>
      <c r="N380" s="3">
        <f t="shared" si="11"/>
        <v>162</v>
      </c>
      <c r="O380" s="3">
        <f t="shared" si="12"/>
        <v>69</v>
      </c>
      <c r="P380" s="3" t="str">
        <f t="shared" si="13"/>
        <v>NET BANKING</v>
      </c>
      <c r="Q380" s="3" t="str">
        <f t="shared" si="14"/>
        <v>CANCELLED</v>
      </c>
    </row>
    <row r="381">
      <c r="A381" s="1" t="s">
        <v>1186</v>
      </c>
      <c r="B381" s="2">
        <f t="shared" si="1"/>
        <v>46218</v>
      </c>
      <c r="C381" s="1" t="s">
        <v>1187</v>
      </c>
      <c r="D381" s="3" t="str">
        <f t="shared" si="2"/>
        <v>NIHAAR</v>
      </c>
      <c r="E381" s="3" t="str">
        <f t="shared" si="3"/>
        <v>MAGARASTRA</v>
      </c>
      <c r="F381" s="3" t="str">
        <f t="shared" si="4"/>
        <v>PUNE</v>
      </c>
      <c r="G381" s="1" t="s">
        <v>1188</v>
      </c>
      <c r="H381" s="3" t="str">
        <f t="shared" si="5"/>
        <v>FOOD</v>
      </c>
      <c r="I381" s="3" t="str">
        <f t="shared" si="6"/>
        <v>BIRIYANI</v>
      </c>
      <c r="J381" s="3">
        <f t="shared" si="7"/>
        <v>4</v>
      </c>
      <c r="K381" s="3">
        <f t="shared" si="8"/>
        <v>430</v>
      </c>
      <c r="L381" s="4">
        <f t="shared" si="9"/>
        <v>0.5</v>
      </c>
      <c r="M381" s="3">
        <f t="shared" si="10"/>
        <v>860</v>
      </c>
      <c r="N381" s="3">
        <f t="shared" si="11"/>
        <v>602</v>
      </c>
      <c r="O381" s="3">
        <f t="shared" si="12"/>
        <v>258</v>
      </c>
      <c r="P381" s="3" t="str">
        <f t="shared" si="13"/>
        <v>WALLET</v>
      </c>
      <c r="Q381" s="3" t="str">
        <f t="shared" si="14"/>
        <v>RETURNED</v>
      </c>
    </row>
    <row r="382">
      <c r="A382" s="1" t="s">
        <v>1191</v>
      </c>
      <c r="B382" s="2">
        <f t="shared" si="1"/>
        <v>46166</v>
      </c>
      <c r="C382" s="1" t="s">
        <v>1195</v>
      </c>
      <c r="D382" s="3" t="str">
        <f t="shared" si="2"/>
        <v>SRI</v>
      </c>
      <c r="E382" s="3" t="str">
        <f t="shared" si="3"/>
        <v>TAMILNADU</v>
      </c>
      <c r="F382" s="3" t="str">
        <f t="shared" si="4"/>
        <v>THOOTHUKUDI</v>
      </c>
      <c r="G382" s="1" t="s">
        <v>1197</v>
      </c>
      <c r="H382" s="3" t="str">
        <f t="shared" si="5"/>
        <v>DRESS</v>
      </c>
      <c r="I382" s="3" t="str">
        <f t="shared" si="6"/>
        <v>WOMEN WAERS</v>
      </c>
      <c r="J382" s="3">
        <f t="shared" si="7"/>
        <v>2</v>
      </c>
      <c r="K382" s="3">
        <f t="shared" si="8"/>
        <v>126</v>
      </c>
      <c r="L382" s="4">
        <f t="shared" si="9"/>
        <v>0.2</v>
      </c>
      <c r="M382" s="3">
        <f t="shared" si="10"/>
        <v>201.6</v>
      </c>
      <c r="N382" s="3">
        <f t="shared" si="11"/>
        <v>141</v>
      </c>
      <c r="O382" s="3">
        <f t="shared" si="12"/>
        <v>61</v>
      </c>
      <c r="P382" s="3" t="str">
        <f t="shared" si="13"/>
        <v>UPI</v>
      </c>
      <c r="Q382" s="3" t="str">
        <f t="shared" si="14"/>
        <v>DELIVERED</v>
      </c>
    </row>
    <row r="383">
      <c r="A383" s="1" t="s">
        <v>1198</v>
      </c>
      <c r="B383" s="2">
        <f t="shared" si="1"/>
        <v>46157</v>
      </c>
      <c r="C383" s="1" t="s">
        <v>1199</v>
      </c>
      <c r="D383" s="3" t="str">
        <f t="shared" si="2"/>
        <v>SHOBN</v>
      </c>
      <c r="E383" s="3" t="str">
        <f t="shared" si="3"/>
        <v>KERALA</v>
      </c>
      <c r="F383" s="3" t="str">
        <f t="shared" si="4"/>
        <v>KOCHI</v>
      </c>
      <c r="G383" s="1" t="s">
        <v>1200</v>
      </c>
      <c r="H383" s="3" t="str">
        <f t="shared" si="5"/>
        <v>BEAUTY</v>
      </c>
      <c r="I383" s="3" t="str">
        <f t="shared" si="6"/>
        <v>KAJAL</v>
      </c>
      <c r="J383" s="3">
        <f t="shared" si="7"/>
        <v>1</v>
      </c>
      <c r="K383" s="3">
        <f t="shared" si="8"/>
        <v>588</v>
      </c>
      <c r="L383" s="4">
        <f t="shared" si="9"/>
        <v>0.5</v>
      </c>
      <c r="M383" s="3">
        <f t="shared" si="10"/>
        <v>294</v>
      </c>
      <c r="N383" s="3">
        <f t="shared" si="11"/>
        <v>206</v>
      </c>
      <c r="O383" s="3">
        <f t="shared" si="12"/>
        <v>88</v>
      </c>
      <c r="P383" s="3" t="str">
        <f t="shared" si="13"/>
        <v>CARD</v>
      </c>
      <c r="Q383" s="3" t="str">
        <f t="shared" si="14"/>
        <v>SHIPPED</v>
      </c>
    </row>
    <row r="384">
      <c r="A384" s="1" t="s">
        <v>1201</v>
      </c>
      <c r="B384" s="2">
        <f t="shared" si="1"/>
        <v>46262</v>
      </c>
      <c r="C384" s="1" t="s">
        <v>1202</v>
      </c>
      <c r="D384" s="3" t="str">
        <f t="shared" si="2"/>
        <v>SOBI</v>
      </c>
      <c r="E384" s="3" t="str">
        <f t="shared" si="3"/>
        <v>KARNATAKA</v>
      </c>
      <c r="F384" s="3" t="str">
        <f t="shared" si="4"/>
        <v>BANGALURU</v>
      </c>
      <c r="G384" s="1" t="s">
        <v>1203</v>
      </c>
      <c r="H384" s="3" t="str">
        <f t="shared" si="5"/>
        <v>HOME &amp; KITCHEN</v>
      </c>
      <c r="I384" s="3" t="str">
        <f t="shared" si="6"/>
        <v>MIXER GRAINDER</v>
      </c>
      <c r="J384" s="3">
        <f t="shared" si="7"/>
        <v>2</v>
      </c>
      <c r="K384" s="3">
        <f t="shared" si="8"/>
        <v>368</v>
      </c>
      <c r="L384" s="4">
        <f t="shared" si="9"/>
        <v>0.15</v>
      </c>
      <c r="M384" s="3">
        <f t="shared" si="10"/>
        <v>625.6</v>
      </c>
      <c r="N384" s="3">
        <f t="shared" si="11"/>
        <v>438</v>
      </c>
      <c r="O384" s="3">
        <f t="shared" si="12"/>
        <v>188</v>
      </c>
      <c r="P384" s="3" t="str">
        <f t="shared" si="13"/>
        <v>COD</v>
      </c>
      <c r="Q384" s="3" t="str">
        <f t="shared" si="14"/>
        <v>CANCELLED</v>
      </c>
    </row>
    <row r="385">
      <c r="A385" s="1" t="s">
        <v>1204</v>
      </c>
      <c r="B385" s="2">
        <f t="shared" si="1"/>
        <v>46204</v>
      </c>
      <c r="C385" s="1" t="s">
        <v>1205</v>
      </c>
      <c r="D385" s="3" t="str">
        <f t="shared" si="2"/>
        <v>SUJI</v>
      </c>
      <c r="E385" s="3" t="str">
        <f t="shared" si="3"/>
        <v>ANDHRA PRADESH</v>
      </c>
      <c r="F385" s="3" t="str">
        <f t="shared" si="4"/>
        <v>TIRUPATI</v>
      </c>
      <c r="G385" s="1" t="s">
        <v>1206</v>
      </c>
      <c r="H385" s="3" t="str">
        <f t="shared" si="5"/>
        <v>BOOKS</v>
      </c>
      <c r="I385" s="3" t="str">
        <f t="shared" si="6"/>
        <v>LIFE OF PI</v>
      </c>
      <c r="J385" s="3">
        <f t="shared" si="7"/>
        <v>5</v>
      </c>
      <c r="K385" s="3">
        <f t="shared" si="8"/>
        <v>157</v>
      </c>
      <c r="L385" s="4">
        <f t="shared" si="9"/>
        <v>0.1</v>
      </c>
      <c r="M385" s="3">
        <f t="shared" si="10"/>
        <v>706.5</v>
      </c>
      <c r="N385" s="3">
        <f t="shared" si="11"/>
        <v>495</v>
      </c>
      <c r="O385" s="3">
        <f t="shared" si="12"/>
        <v>212</v>
      </c>
      <c r="P385" s="3" t="str">
        <f t="shared" si="13"/>
        <v>NET BANKING</v>
      </c>
      <c r="Q385" s="3" t="str">
        <f t="shared" si="14"/>
        <v>RETURNED</v>
      </c>
    </row>
    <row r="386">
      <c r="A386" s="1" t="s">
        <v>1207</v>
      </c>
      <c r="B386" s="2">
        <f t="shared" si="1"/>
        <v>46061</v>
      </c>
      <c r="C386" s="1" t="s">
        <v>1208</v>
      </c>
      <c r="D386" s="3" t="str">
        <f t="shared" si="2"/>
        <v>RATHA</v>
      </c>
      <c r="E386" s="3" t="str">
        <f t="shared" si="3"/>
        <v>TELUGANA</v>
      </c>
      <c r="F386" s="3" t="str">
        <f t="shared" si="4"/>
        <v>HYDERABAD</v>
      </c>
      <c r="G386" s="1" t="s">
        <v>1209</v>
      </c>
      <c r="H386" s="3" t="str">
        <f t="shared" si="5"/>
        <v>ACCESSORIES</v>
      </c>
      <c r="I386" s="3" t="str">
        <f t="shared" si="6"/>
        <v>EARRINGS</v>
      </c>
      <c r="J386" s="3">
        <f t="shared" si="7"/>
        <v>2</v>
      </c>
      <c r="K386" s="3">
        <f t="shared" si="8"/>
        <v>221</v>
      </c>
      <c r="L386" s="4">
        <f t="shared" si="9"/>
        <v>0.17</v>
      </c>
      <c r="M386" s="3">
        <f t="shared" si="10"/>
        <v>366.86</v>
      </c>
      <c r="N386" s="3">
        <f t="shared" si="11"/>
        <v>257</v>
      </c>
      <c r="O386" s="3">
        <f t="shared" si="12"/>
        <v>110</v>
      </c>
      <c r="P386" s="3" t="str">
        <f t="shared" si="13"/>
        <v>WALLET</v>
      </c>
      <c r="Q386" s="3" t="str">
        <f t="shared" si="14"/>
        <v>DELIVERED</v>
      </c>
    </row>
    <row r="387">
      <c r="A387" s="1" t="s">
        <v>1210</v>
      </c>
      <c r="B387" s="2">
        <f t="shared" si="1"/>
        <v>46053</v>
      </c>
      <c r="C387" s="1" t="s">
        <v>1211</v>
      </c>
      <c r="D387" s="3" t="str">
        <f t="shared" si="2"/>
        <v>SUSA</v>
      </c>
      <c r="E387" s="3" t="str">
        <f t="shared" si="3"/>
        <v>UTTHRA PRADESH</v>
      </c>
      <c r="F387" s="3" t="str">
        <f t="shared" si="4"/>
        <v>LUCKNOW</v>
      </c>
      <c r="G387" s="1" t="s">
        <v>1212</v>
      </c>
      <c r="H387" s="3" t="str">
        <f t="shared" si="5"/>
        <v>ELECTRONICS</v>
      </c>
      <c r="I387" s="3" t="str">
        <f t="shared" si="6"/>
        <v>WIRELESS EARBUDS</v>
      </c>
      <c r="J387" s="3">
        <f t="shared" si="7"/>
        <v>2</v>
      </c>
      <c r="K387" s="3">
        <f t="shared" si="8"/>
        <v>381</v>
      </c>
      <c r="L387" s="4">
        <f t="shared" si="9"/>
        <v>0.15</v>
      </c>
      <c r="M387" s="3">
        <f t="shared" si="10"/>
        <v>647.7</v>
      </c>
      <c r="N387" s="3">
        <f t="shared" si="11"/>
        <v>453</v>
      </c>
      <c r="O387" s="3">
        <f t="shared" si="12"/>
        <v>195</v>
      </c>
      <c r="P387" s="3" t="str">
        <f t="shared" si="13"/>
        <v>UPI</v>
      </c>
      <c r="Q387" s="3" t="str">
        <f t="shared" si="14"/>
        <v>SHIPPED</v>
      </c>
    </row>
    <row r="388">
      <c r="A388" s="1" t="s">
        <v>1213</v>
      </c>
      <c r="B388" s="2">
        <f t="shared" si="1"/>
        <v>46312</v>
      </c>
      <c r="C388" s="1" t="s">
        <v>1214</v>
      </c>
      <c r="D388" s="3" t="str">
        <f t="shared" si="2"/>
        <v>NIVE</v>
      </c>
      <c r="E388" s="3" t="str">
        <f t="shared" si="3"/>
        <v>GUJARAT</v>
      </c>
      <c r="F388" s="3" t="str">
        <f t="shared" si="4"/>
        <v>SURAT</v>
      </c>
      <c r="G388" s="1" t="s">
        <v>1215</v>
      </c>
      <c r="H388" s="3" t="str">
        <f t="shared" si="5"/>
        <v>SPORTS</v>
      </c>
      <c r="I388" s="3" t="str">
        <f t="shared" si="6"/>
        <v>FOOTBALL</v>
      </c>
      <c r="J388" s="3">
        <f t="shared" si="7"/>
        <v>1</v>
      </c>
      <c r="K388" s="3">
        <f t="shared" si="8"/>
        <v>118</v>
      </c>
      <c r="L388" s="4">
        <f t="shared" si="9"/>
        <v>0</v>
      </c>
      <c r="M388" s="3">
        <f t="shared" si="10"/>
        <v>118</v>
      </c>
      <c r="N388" s="3">
        <f t="shared" si="11"/>
        <v>83</v>
      </c>
      <c r="O388" s="3">
        <f t="shared" si="12"/>
        <v>35</v>
      </c>
      <c r="P388" s="3" t="str">
        <f t="shared" si="13"/>
        <v>CARD</v>
      </c>
      <c r="Q388" s="3" t="str">
        <f t="shared" si="14"/>
        <v>CANCELLED</v>
      </c>
    </row>
    <row r="389">
      <c r="A389" s="1" t="s">
        <v>1216</v>
      </c>
      <c r="B389" s="2">
        <f t="shared" si="1"/>
        <v>46171</v>
      </c>
      <c r="C389" s="1" t="s">
        <v>1217</v>
      </c>
      <c r="D389" s="3" t="str">
        <f t="shared" si="2"/>
        <v>VINO</v>
      </c>
      <c r="E389" s="3" t="str">
        <f t="shared" si="3"/>
        <v>RAJASTHAN</v>
      </c>
      <c r="F389" s="3" t="str">
        <f t="shared" si="4"/>
        <v>JAIPUR</v>
      </c>
      <c r="G389" s="1" t="s">
        <v>1218</v>
      </c>
      <c r="H389" s="3" t="str">
        <f t="shared" si="5"/>
        <v>FOOD</v>
      </c>
      <c r="I389" s="3" t="str">
        <f t="shared" si="6"/>
        <v>BIRIYANI</v>
      </c>
      <c r="J389" s="3">
        <f t="shared" si="7"/>
        <v>2</v>
      </c>
      <c r="K389" s="3">
        <f t="shared" si="8"/>
        <v>543</v>
      </c>
      <c r="L389" s="4">
        <f t="shared" si="9"/>
        <v>0.1</v>
      </c>
      <c r="M389" s="3">
        <f t="shared" si="10"/>
        <v>977.4</v>
      </c>
      <c r="N389" s="3">
        <f t="shared" si="11"/>
        <v>684</v>
      </c>
      <c r="O389" s="3">
        <f t="shared" si="12"/>
        <v>293</v>
      </c>
      <c r="P389" s="3" t="str">
        <f t="shared" si="13"/>
        <v>COD</v>
      </c>
      <c r="Q389" s="3" t="str">
        <f t="shared" si="14"/>
        <v>RETURNED</v>
      </c>
    </row>
    <row r="390">
      <c r="A390" s="1" t="s">
        <v>1219</v>
      </c>
      <c r="B390" s="2">
        <f t="shared" si="1"/>
        <v>46036</v>
      </c>
      <c r="C390" s="1" t="s">
        <v>1220</v>
      </c>
      <c r="D390" s="3" t="str">
        <f t="shared" si="2"/>
        <v>ABI</v>
      </c>
      <c r="E390" s="3" t="str">
        <f t="shared" si="3"/>
        <v>WEST BENGAL</v>
      </c>
      <c r="F390" s="3" t="str">
        <f t="shared" si="4"/>
        <v>KOLKATA</v>
      </c>
      <c r="G390" s="1" t="s">
        <v>1221</v>
      </c>
      <c r="H390" s="3" t="str">
        <f t="shared" si="5"/>
        <v>DRESS</v>
      </c>
      <c r="I390" s="3" t="str">
        <f t="shared" si="6"/>
        <v>WOMEN WAERS</v>
      </c>
      <c r="J390" s="3">
        <f t="shared" si="7"/>
        <v>3</v>
      </c>
      <c r="K390" s="3">
        <f t="shared" si="8"/>
        <v>325</v>
      </c>
      <c r="L390" s="4">
        <f t="shared" si="9"/>
        <v>0.5</v>
      </c>
      <c r="M390" s="3">
        <f t="shared" si="10"/>
        <v>487.5</v>
      </c>
      <c r="N390" s="3">
        <f t="shared" si="11"/>
        <v>341</v>
      </c>
      <c r="O390" s="3">
        <f t="shared" si="12"/>
        <v>147</v>
      </c>
      <c r="P390" s="3" t="str">
        <f t="shared" si="13"/>
        <v>NET BANKING</v>
      </c>
      <c r="Q390" s="3" t="str">
        <f t="shared" si="14"/>
        <v>DELIVERED</v>
      </c>
    </row>
    <row r="391">
      <c r="A391" s="1" t="s">
        <v>1222</v>
      </c>
      <c r="B391" s="2">
        <f t="shared" si="1"/>
        <v>46134</v>
      </c>
      <c r="C391" s="1" t="s">
        <v>1223</v>
      </c>
      <c r="D391" s="3" t="str">
        <f t="shared" si="2"/>
        <v>NIHAAR</v>
      </c>
      <c r="E391" s="3" t="str">
        <f t="shared" si="3"/>
        <v>MAGARASTRA</v>
      </c>
      <c r="F391" s="3" t="str">
        <f t="shared" si="4"/>
        <v>PUNE</v>
      </c>
      <c r="G391" s="1" t="s">
        <v>1224</v>
      </c>
      <c r="H391" s="3" t="str">
        <f t="shared" si="5"/>
        <v>BEAUTY</v>
      </c>
      <c r="I391" s="3" t="str">
        <f t="shared" si="6"/>
        <v>KAJAL</v>
      </c>
      <c r="J391" s="3">
        <f t="shared" si="7"/>
        <v>1</v>
      </c>
      <c r="K391" s="3">
        <f t="shared" si="8"/>
        <v>481</v>
      </c>
      <c r="L391" s="4">
        <f t="shared" si="9"/>
        <v>0.15</v>
      </c>
      <c r="M391" s="3">
        <f t="shared" si="10"/>
        <v>408.85</v>
      </c>
      <c r="N391" s="3">
        <f t="shared" si="11"/>
        <v>286</v>
      </c>
      <c r="O391" s="3">
        <f t="shared" si="12"/>
        <v>123</v>
      </c>
      <c r="P391" s="3" t="str">
        <f t="shared" si="13"/>
        <v>WALLET</v>
      </c>
      <c r="Q391" s="3" t="str">
        <f t="shared" si="14"/>
        <v>SHIPPED</v>
      </c>
    </row>
    <row r="392">
      <c r="A392" s="1" t="s">
        <v>1225</v>
      </c>
      <c r="B392" s="2">
        <f t="shared" si="1"/>
        <v>46323</v>
      </c>
      <c r="C392" s="1" t="s">
        <v>1226</v>
      </c>
      <c r="D392" s="3" t="str">
        <f t="shared" si="2"/>
        <v>SRI</v>
      </c>
      <c r="E392" s="3" t="str">
        <f t="shared" si="3"/>
        <v>TAMILNADU</v>
      </c>
      <c r="F392" s="3" t="str">
        <f t="shared" si="4"/>
        <v>THOOTHUKUDI</v>
      </c>
      <c r="G392" s="1" t="s">
        <v>1227</v>
      </c>
      <c r="H392" s="3" t="str">
        <f t="shared" si="5"/>
        <v>HOME &amp; KITCHEN</v>
      </c>
      <c r="I392" s="3" t="str">
        <f t="shared" si="6"/>
        <v>MIXER GRAINDER</v>
      </c>
      <c r="J392" s="3">
        <f t="shared" si="7"/>
        <v>1</v>
      </c>
      <c r="K392" s="3">
        <f t="shared" si="8"/>
        <v>155</v>
      </c>
      <c r="L392" s="4">
        <f t="shared" si="9"/>
        <v>0.15</v>
      </c>
      <c r="M392" s="3">
        <f t="shared" si="10"/>
        <v>131.75</v>
      </c>
      <c r="N392" s="3">
        <f t="shared" si="11"/>
        <v>92</v>
      </c>
      <c r="O392" s="3">
        <f t="shared" si="12"/>
        <v>40</v>
      </c>
      <c r="P392" s="3" t="str">
        <f t="shared" si="13"/>
        <v>UPI</v>
      </c>
      <c r="Q392" s="3" t="str">
        <f t="shared" si="14"/>
        <v>CANCELLED</v>
      </c>
    </row>
    <row r="393">
      <c r="A393" s="1" t="s">
        <v>1228</v>
      </c>
      <c r="B393" s="2">
        <f t="shared" si="1"/>
        <v>46046</v>
      </c>
      <c r="C393" s="1" t="s">
        <v>1229</v>
      </c>
      <c r="D393" s="3" t="str">
        <f t="shared" si="2"/>
        <v>SHOBN</v>
      </c>
      <c r="E393" s="3" t="str">
        <f t="shared" si="3"/>
        <v>KERALA</v>
      </c>
      <c r="F393" s="3" t="str">
        <f t="shared" si="4"/>
        <v>KOCHI</v>
      </c>
      <c r="G393" s="1" t="s">
        <v>1230</v>
      </c>
      <c r="H393" s="3" t="str">
        <f t="shared" si="5"/>
        <v>BOOKS</v>
      </c>
      <c r="I393" s="3" t="str">
        <f t="shared" si="6"/>
        <v>LIFE OF PI</v>
      </c>
      <c r="J393" s="3">
        <f t="shared" si="7"/>
        <v>2</v>
      </c>
      <c r="K393" s="3">
        <f t="shared" si="8"/>
        <v>385</v>
      </c>
      <c r="L393" s="4">
        <f t="shared" si="9"/>
        <v>0.15</v>
      </c>
      <c r="M393" s="3">
        <f t="shared" si="10"/>
        <v>654.5</v>
      </c>
      <c r="N393" s="3">
        <f t="shared" si="11"/>
        <v>458</v>
      </c>
      <c r="O393" s="3">
        <f t="shared" si="12"/>
        <v>197</v>
      </c>
      <c r="P393" s="3" t="str">
        <f t="shared" si="13"/>
        <v>CARD</v>
      </c>
      <c r="Q393" s="3" t="str">
        <f t="shared" si="14"/>
        <v>RETURNED</v>
      </c>
    </row>
    <row r="394">
      <c r="A394" s="1" t="s">
        <v>1231</v>
      </c>
      <c r="B394" s="2">
        <f t="shared" si="1"/>
        <v>46205</v>
      </c>
      <c r="C394" s="1" t="s">
        <v>1232</v>
      </c>
      <c r="D394" s="3" t="str">
        <f t="shared" si="2"/>
        <v>SOBI</v>
      </c>
      <c r="E394" s="3" t="str">
        <f t="shared" si="3"/>
        <v>KARNATAKA</v>
      </c>
      <c r="F394" s="3" t="str">
        <f t="shared" si="4"/>
        <v>BANGALURU</v>
      </c>
      <c r="G394" s="1" t="s">
        <v>1233</v>
      </c>
      <c r="H394" s="3" t="str">
        <f t="shared" si="5"/>
        <v>ACCESSORIES</v>
      </c>
      <c r="I394" s="3" t="str">
        <f t="shared" si="6"/>
        <v>EARRINGS</v>
      </c>
      <c r="J394" s="3">
        <f t="shared" si="7"/>
        <v>4</v>
      </c>
      <c r="K394" s="3">
        <f t="shared" si="8"/>
        <v>386</v>
      </c>
      <c r="L394" s="4">
        <f t="shared" si="9"/>
        <v>0.1</v>
      </c>
      <c r="M394" s="3">
        <f t="shared" si="10"/>
        <v>1389.6</v>
      </c>
      <c r="N394" s="3">
        <f t="shared" si="11"/>
        <v>973</v>
      </c>
      <c r="O394" s="3">
        <f t="shared" si="12"/>
        <v>417</v>
      </c>
      <c r="P394" s="3" t="str">
        <f t="shared" si="13"/>
        <v>COD</v>
      </c>
      <c r="Q394" s="3" t="str">
        <f t="shared" si="14"/>
        <v>DELIVERED</v>
      </c>
    </row>
    <row r="395">
      <c r="A395" s="1" t="s">
        <v>1234</v>
      </c>
      <c r="B395" s="2">
        <f t="shared" si="1"/>
        <v>46247</v>
      </c>
      <c r="C395" s="1" t="s">
        <v>1235</v>
      </c>
      <c r="D395" s="3" t="str">
        <f t="shared" si="2"/>
        <v>SUJI</v>
      </c>
      <c r="E395" s="3" t="str">
        <f t="shared" si="3"/>
        <v>ANDHRA PRADESH</v>
      </c>
      <c r="F395" s="3" t="str">
        <f t="shared" si="4"/>
        <v>TIRUPATI</v>
      </c>
      <c r="G395" s="1" t="s">
        <v>1236</v>
      </c>
      <c r="H395" s="3" t="str">
        <f t="shared" si="5"/>
        <v>ELECTRONICS</v>
      </c>
      <c r="I395" s="3" t="str">
        <f t="shared" si="6"/>
        <v>WIRELESS EARBUDS</v>
      </c>
      <c r="J395" s="3">
        <f t="shared" si="7"/>
        <v>2</v>
      </c>
      <c r="K395" s="3">
        <f t="shared" si="8"/>
        <v>134</v>
      </c>
      <c r="L395" s="4">
        <f t="shared" si="9"/>
        <v>0.5</v>
      </c>
      <c r="M395" s="3">
        <f t="shared" si="10"/>
        <v>134</v>
      </c>
      <c r="N395" s="3">
        <f t="shared" si="11"/>
        <v>94</v>
      </c>
      <c r="O395" s="3">
        <f t="shared" si="12"/>
        <v>40</v>
      </c>
      <c r="P395" s="3" t="str">
        <f t="shared" si="13"/>
        <v>NET BANKING</v>
      </c>
      <c r="Q395" s="3" t="str">
        <f t="shared" si="14"/>
        <v>SHIPPED</v>
      </c>
    </row>
    <row r="396">
      <c r="A396" s="1" t="s">
        <v>1237</v>
      </c>
      <c r="B396" s="2">
        <f t="shared" si="1"/>
        <v>46336</v>
      </c>
      <c r="C396" s="1" t="s">
        <v>1238</v>
      </c>
      <c r="D396" s="3" t="str">
        <f t="shared" si="2"/>
        <v>RATHA</v>
      </c>
      <c r="E396" s="3" t="str">
        <f t="shared" si="3"/>
        <v>TELUGANA</v>
      </c>
      <c r="F396" s="3" t="str">
        <f t="shared" si="4"/>
        <v>HYDERABAD</v>
      </c>
      <c r="G396" s="1" t="s">
        <v>1239</v>
      </c>
      <c r="H396" s="3" t="str">
        <f t="shared" si="5"/>
        <v>SPORTS</v>
      </c>
      <c r="I396" s="3" t="str">
        <f t="shared" si="6"/>
        <v>FOOTBALL</v>
      </c>
      <c r="J396" s="3">
        <f t="shared" si="7"/>
        <v>1</v>
      </c>
      <c r="K396" s="3">
        <f t="shared" si="8"/>
        <v>594</v>
      </c>
      <c r="L396" s="4">
        <f t="shared" si="9"/>
        <v>0.2</v>
      </c>
      <c r="M396" s="3">
        <f t="shared" si="10"/>
        <v>475.2</v>
      </c>
      <c r="N396" s="3">
        <f t="shared" si="11"/>
        <v>333</v>
      </c>
      <c r="O396" s="3">
        <f t="shared" si="12"/>
        <v>142</v>
      </c>
      <c r="P396" s="3" t="str">
        <f t="shared" si="13"/>
        <v>WALLET</v>
      </c>
      <c r="Q396" s="3" t="str">
        <f t="shared" si="14"/>
        <v>CANCELLED</v>
      </c>
    </row>
    <row r="397">
      <c r="A397" s="1" t="s">
        <v>1240</v>
      </c>
      <c r="B397" s="2">
        <f t="shared" si="1"/>
        <v>46387</v>
      </c>
      <c r="C397" s="1" t="s">
        <v>1241</v>
      </c>
      <c r="D397" s="3" t="str">
        <f t="shared" si="2"/>
        <v>SUSA</v>
      </c>
      <c r="E397" s="3" t="str">
        <f t="shared" si="3"/>
        <v>UTTHRA PRADESH</v>
      </c>
      <c r="F397" s="3" t="str">
        <f t="shared" si="4"/>
        <v>LUCKNOW</v>
      </c>
      <c r="G397" s="1" t="s">
        <v>1242</v>
      </c>
      <c r="H397" s="3" t="str">
        <f t="shared" si="5"/>
        <v>FOOD</v>
      </c>
      <c r="I397" s="3" t="str">
        <f t="shared" si="6"/>
        <v>BIRIYANI</v>
      </c>
      <c r="J397" s="3">
        <f t="shared" si="7"/>
        <v>2</v>
      </c>
      <c r="K397" s="3">
        <f t="shared" si="8"/>
        <v>226</v>
      </c>
      <c r="L397" s="4">
        <f t="shared" si="9"/>
        <v>0.1</v>
      </c>
      <c r="M397" s="3">
        <f t="shared" si="10"/>
        <v>406.8</v>
      </c>
      <c r="N397" s="3">
        <f t="shared" si="11"/>
        <v>285</v>
      </c>
      <c r="O397" s="3">
        <f t="shared" si="12"/>
        <v>122</v>
      </c>
      <c r="P397" s="3" t="str">
        <f t="shared" si="13"/>
        <v>UPI</v>
      </c>
      <c r="Q397" s="3" t="str">
        <f t="shared" si="14"/>
        <v>RETURNED</v>
      </c>
    </row>
    <row r="398">
      <c r="A398" s="1" t="s">
        <v>1243</v>
      </c>
      <c r="B398" s="2">
        <f t="shared" si="1"/>
        <v>46101</v>
      </c>
      <c r="C398" s="1" t="s">
        <v>1244</v>
      </c>
      <c r="D398" s="3" t="str">
        <f t="shared" si="2"/>
        <v>NIVE</v>
      </c>
      <c r="E398" s="3" t="str">
        <f t="shared" si="3"/>
        <v>GUJARAT</v>
      </c>
      <c r="F398" s="3" t="str">
        <f t="shared" si="4"/>
        <v>SURAT</v>
      </c>
      <c r="G398" s="1" t="s">
        <v>1245</v>
      </c>
      <c r="H398" s="3" t="str">
        <f t="shared" si="5"/>
        <v>DRESS</v>
      </c>
      <c r="I398" s="3" t="str">
        <f t="shared" si="6"/>
        <v>WOMEN WAERS</v>
      </c>
      <c r="J398" s="3">
        <f t="shared" si="7"/>
        <v>2</v>
      </c>
      <c r="K398" s="3">
        <f t="shared" si="8"/>
        <v>471</v>
      </c>
      <c r="L398" s="4">
        <f t="shared" si="9"/>
        <v>0.2</v>
      </c>
      <c r="M398" s="3">
        <f t="shared" si="10"/>
        <v>753.6</v>
      </c>
      <c r="N398" s="3">
        <f t="shared" si="11"/>
        <v>528</v>
      </c>
      <c r="O398" s="3">
        <f t="shared" si="12"/>
        <v>226</v>
      </c>
      <c r="P398" s="3" t="str">
        <f t="shared" si="13"/>
        <v>CARD</v>
      </c>
      <c r="Q398" s="3" t="str">
        <f t="shared" si="14"/>
        <v>DELIVERED</v>
      </c>
    </row>
    <row r="399">
      <c r="A399" s="1" t="s">
        <v>1246</v>
      </c>
      <c r="B399" s="2">
        <f t="shared" si="1"/>
        <v>46240</v>
      </c>
      <c r="C399" s="1" t="s">
        <v>1247</v>
      </c>
      <c r="D399" s="3" t="str">
        <f t="shared" si="2"/>
        <v>VINO</v>
      </c>
      <c r="E399" s="3" t="str">
        <f t="shared" si="3"/>
        <v>RAJASTHAN</v>
      </c>
      <c r="F399" s="3" t="str">
        <f t="shared" si="4"/>
        <v>JAIPUR</v>
      </c>
      <c r="G399" s="1" t="s">
        <v>1248</v>
      </c>
      <c r="H399" s="3" t="str">
        <f t="shared" si="5"/>
        <v>BEAUTY</v>
      </c>
      <c r="I399" s="3" t="str">
        <f t="shared" si="6"/>
        <v>KAJAL</v>
      </c>
      <c r="J399" s="3">
        <f t="shared" si="7"/>
        <v>5</v>
      </c>
      <c r="K399" s="3">
        <f t="shared" si="8"/>
        <v>536</v>
      </c>
      <c r="L399" s="4">
        <f t="shared" si="9"/>
        <v>0.1</v>
      </c>
      <c r="M399" s="3">
        <f t="shared" si="10"/>
        <v>2412</v>
      </c>
      <c r="N399" s="3">
        <f t="shared" si="11"/>
        <v>1688</v>
      </c>
      <c r="O399" s="3">
        <f t="shared" si="12"/>
        <v>724</v>
      </c>
      <c r="P399" s="3" t="str">
        <f t="shared" si="13"/>
        <v>COD</v>
      </c>
      <c r="Q399" s="3" t="str">
        <f t="shared" si="14"/>
        <v>SHIPPED</v>
      </c>
    </row>
    <row r="400">
      <c r="A400" s="1" t="s">
        <v>1249</v>
      </c>
      <c r="B400" s="2">
        <f t="shared" si="1"/>
        <v>46216</v>
      </c>
      <c r="C400" s="1" t="s">
        <v>1250</v>
      </c>
      <c r="D400" s="3" t="str">
        <f t="shared" si="2"/>
        <v>ABI</v>
      </c>
      <c r="E400" s="3" t="str">
        <f t="shared" si="3"/>
        <v>WEST BENGAL</v>
      </c>
      <c r="F400" s="3" t="str">
        <f t="shared" si="4"/>
        <v>KOLKATA</v>
      </c>
      <c r="G400" s="1" t="s">
        <v>1251</v>
      </c>
      <c r="H400" s="3" t="str">
        <f t="shared" si="5"/>
        <v>HOME &amp; KITCHEN</v>
      </c>
      <c r="I400" s="3" t="str">
        <f t="shared" si="6"/>
        <v>MIXER GRAINDER</v>
      </c>
      <c r="J400" s="3">
        <f t="shared" si="7"/>
        <v>4</v>
      </c>
      <c r="K400" s="3">
        <f t="shared" si="8"/>
        <v>283</v>
      </c>
      <c r="L400" s="4">
        <f t="shared" si="9"/>
        <v>0</v>
      </c>
      <c r="M400" s="3">
        <f t="shared" si="10"/>
        <v>1132</v>
      </c>
      <c r="N400" s="3">
        <f t="shared" si="11"/>
        <v>792</v>
      </c>
      <c r="O400" s="3">
        <f t="shared" si="12"/>
        <v>340</v>
      </c>
      <c r="P400" s="3" t="str">
        <f t="shared" si="13"/>
        <v>NET BANKING</v>
      </c>
      <c r="Q400" s="3" t="str">
        <f t="shared" si="14"/>
        <v>CANCELLED</v>
      </c>
    </row>
    <row r="401">
      <c r="A401" s="1" t="s">
        <v>1252</v>
      </c>
      <c r="B401" s="2">
        <f t="shared" si="1"/>
        <v>46191</v>
      </c>
      <c r="C401" s="1" t="s">
        <v>1253</v>
      </c>
      <c r="D401" s="3" t="str">
        <f t="shared" si="2"/>
        <v>NIHAAR</v>
      </c>
      <c r="E401" s="3" t="str">
        <f t="shared" si="3"/>
        <v>MAGARASTRA</v>
      </c>
      <c r="F401" s="3" t="str">
        <f t="shared" si="4"/>
        <v>PUNE</v>
      </c>
      <c r="G401" s="1" t="s">
        <v>1254</v>
      </c>
      <c r="H401" s="3" t="str">
        <f t="shared" si="5"/>
        <v>BOOKS</v>
      </c>
      <c r="I401" s="3" t="str">
        <f t="shared" si="6"/>
        <v>LIFE OF PI</v>
      </c>
      <c r="J401" s="3">
        <f t="shared" si="7"/>
        <v>5</v>
      </c>
      <c r="K401" s="3">
        <f t="shared" si="8"/>
        <v>241</v>
      </c>
      <c r="L401" s="4">
        <f t="shared" si="9"/>
        <v>0.2</v>
      </c>
      <c r="M401" s="3">
        <f t="shared" si="10"/>
        <v>964</v>
      </c>
      <c r="N401" s="3">
        <f t="shared" si="11"/>
        <v>675</v>
      </c>
      <c r="O401" s="3">
        <f t="shared" si="12"/>
        <v>289</v>
      </c>
      <c r="P401" s="3" t="str">
        <f t="shared" si="13"/>
        <v>WALLET</v>
      </c>
      <c r="Q401" s="3" t="str">
        <f t="shared" si="14"/>
        <v>RETURNED</v>
      </c>
    </row>
    <row r="402">
      <c r="A402" s="1" t="s">
        <v>1255</v>
      </c>
      <c r="B402" s="2">
        <f t="shared" si="1"/>
        <v>46172</v>
      </c>
      <c r="C402" s="1" t="s">
        <v>1256</v>
      </c>
      <c r="D402" s="3" t="str">
        <f t="shared" si="2"/>
        <v>SRI</v>
      </c>
      <c r="E402" s="3" t="str">
        <f t="shared" si="3"/>
        <v>TAMILNADU</v>
      </c>
      <c r="F402" s="3" t="str">
        <f t="shared" si="4"/>
        <v>THOOTHUKUDI</v>
      </c>
      <c r="G402" s="1" t="s">
        <v>1257</v>
      </c>
      <c r="H402" s="3" t="str">
        <f t="shared" si="5"/>
        <v>ACCESSORIES</v>
      </c>
      <c r="I402" s="3" t="str">
        <f t="shared" si="6"/>
        <v>EARRINGS</v>
      </c>
      <c r="J402" s="3">
        <f t="shared" si="7"/>
        <v>4</v>
      </c>
      <c r="K402" s="3">
        <f t="shared" si="8"/>
        <v>591</v>
      </c>
      <c r="L402" s="4">
        <f t="shared" si="9"/>
        <v>0.17</v>
      </c>
      <c r="M402" s="3">
        <f t="shared" si="10"/>
        <v>1962.12</v>
      </c>
      <c r="N402" s="3">
        <f t="shared" si="11"/>
        <v>1373</v>
      </c>
      <c r="O402" s="3">
        <f t="shared" si="12"/>
        <v>589</v>
      </c>
      <c r="P402" s="3" t="str">
        <f t="shared" si="13"/>
        <v>UPI</v>
      </c>
      <c r="Q402" s="3" t="str">
        <f t="shared" si="14"/>
        <v>DELIVERED</v>
      </c>
    </row>
    <row r="403">
      <c r="A403" s="1" t="s">
        <v>1258</v>
      </c>
      <c r="B403" s="2">
        <f t="shared" si="1"/>
        <v>46191</v>
      </c>
      <c r="C403" s="1" t="s">
        <v>1259</v>
      </c>
      <c r="D403" s="3" t="str">
        <f t="shared" si="2"/>
        <v>SHOBN</v>
      </c>
      <c r="E403" s="3" t="str">
        <f t="shared" si="3"/>
        <v>KERALA</v>
      </c>
      <c r="F403" s="3" t="str">
        <f t="shared" si="4"/>
        <v>KOCHI</v>
      </c>
      <c r="G403" s="1" t="s">
        <v>1260</v>
      </c>
      <c r="H403" s="3" t="str">
        <f t="shared" si="5"/>
        <v>ELECTRONICS</v>
      </c>
      <c r="I403" s="3" t="str">
        <f t="shared" si="6"/>
        <v>WIRELESS EARBUDS</v>
      </c>
      <c r="J403" s="3">
        <f t="shared" si="7"/>
        <v>1</v>
      </c>
      <c r="K403" s="3">
        <f t="shared" si="8"/>
        <v>383</v>
      </c>
      <c r="L403" s="4">
        <f t="shared" si="9"/>
        <v>0.1</v>
      </c>
      <c r="M403" s="3">
        <f t="shared" si="10"/>
        <v>344.7</v>
      </c>
      <c r="N403" s="3">
        <f t="shared" si="11"/>
        <v>241</v>
      </c>
      <c r="O403" s="3">
        <f t="shared" si="12"/>
        <v>104</v>
      </c>
      <c r="P403" s="3" t="str">
        <f t="shared" si="13"/>
        <v>CARD</v>
      </c>
      <c r="Q403" s="3" t="str">
        <f t="shared" si="14"/>
        <v>SHIPPED</v>
      </c>
    </row>
    <row r="404">
      <c r="A404" s="1" t="s">
        <v>1261</v>
      </c>
      <c r="B404" s="2">
        <f t="shared" si="1"/>
        <v>46346</v>
      </c>
      <c r="C404" s="1" t="s">
        <v>1262</v>
      </c>
      <c r="D404" s="3" t="str">
        <f t="shared" si="2"/>
        <v>SOBI</v>
      </c>
      <c r="E404" s="3" t="str">
        <f t="shared" si="3"/>
        <v>KARNATAKA</v>
      </c>
      <c r="F404" s="3" t="str">
        <f t="shared" si="4"/>
        <v>BANGALURU</v>
      </c>
      <c r="G404" s="1" t="s">
        <v>1263</v>
      </c>
      <c r="H404" s="3" t="str">
        <f t="shared" si="5"/>
        <v>SPORTS</v>
      </c>
      <c r="I404" s="3" t="str">
        <f t="shared" si="6"/>
        <v>FOOTBALL</v>
      </c>
      <c r="J404" s="3">
        <f t="shared" si="7"/>
        <v>1</v>
      </c>
      <c r="K404" s="3">
        <f t="shared" si="8"/>
        <v>597</v>
      </c>
      <c r="L404" s="4">
        <f t="shared" si="9"/>
        <v>0.5</v>
      </c>
      <c r="M404" s="3">
        <f t="shared" si="10"/>
        <v>298.5</v>
      </c>
      <c r="N404" s="3">
        <f t="shared" si="11"/>
        <v>209</v>
      </c>
      <c r="O404" s="3">
        <f t="shared" si="12"/>
        <v>90</v>
      </c>
      <c r="P404" s="3" t="str">
        <f t="shared" si="13"/>
        <v>COD</v>
      </c>
      <c r="Q404" s="3" t="str">
        <f t="shared" si="14"/>
        <v>CANCELLED</v>
      </c>
    </row>
    <row r="405">
      <c r="A405" s="1" t="s">
        <v>1264</v>
      </c>
      <c r="B405" s="2">
        <f t="shared" si="1"/>
        <v>46050</v>
      </c>
      <c r="C405" s="1" t="s">
        <v>1265</v>
      </c>
      <c r="D405" s="3" t="str">
        <f t="shared" si="2"/>
        <v>SUJI</v>
      </c>
      <c r="E405" s="3" t="str">
        <f t="shared" si="3"/>
        <v>ANDHRA PRADESH</v>
      </c>
      <c r="F405" s="3" t="str">
        <f t="shared" si="4"/>
        <v>TIRUPATI</v>
      </c>
      <c r="G405" s="1" t="s">
        <v>1266</v>
      </c>
      <c r="H405" s="3" t="str">
        <f t="shared" si="5"/>
        <v>FOOD</v>
      </c>
      <c r="I405" s="3" t="str">
        <f t="shared" si="6"/>
        <v>BIRIYANI</v>
      </c>
      <c r="J405" s="3">
        <f t="shared" si="7"/>
        <v>4</v>
      </c>
      <c r="K405" s="3">
        <f t="shared" si="8"/>
        <v>158</v>
      </c>
      <c r="L405" s="4">
        <f t="shared" si="9"/>
        <v>0.17</v>
      </c>
      <c r="M405" s="3">
        <f t="shared" si="10"/>
        <v>524.56</v>
      </c>
      <c r="N405" s="3">
        <f t="shared" si="11"/>
        <v>367</v>
      </c>
      <c r="O405" s="3">
        <f t="shared" si="12"/>
        <v>158</v>
      </c>
      <c r="P405" s="3" t="str">
        <f t="shared" si="13"/>
        <v>NET BANKING</v>
      </c>
      <c r="Q405" s="3" t="str">
        <f t="shared" si="14"/>
        <v>RETURNED</v>
      </c>
    </row>
    <row r="406">
      <c r="A406" s="1" t="s">
        <v>1267</v>
      </c>
      <c r="B406" s="2">
        <f t="shared" si="1"/>
        <v>46209</v>
      </c>
      <c r="C406" s="1" t="s">
        <v>1268</v>
      </c>
      <c r="D406" s="3" t="str">
        <f t="shared" si="2"/>
        <v>RATHA</v>
      </c>
      <c r="E406" s="3" t="str">
        <f t="shared" si="3"/>
        <v>TELUGANA</v>
      </c>
      <c r="F406" s="3" t="str">
        <f t="shared" si="4"/>
        <v>HYDERABAD</v>
      </c>
      <c r="G406" s="1" t="s">
        <v>1269</v>
      </c>
      <c r="H406" s="3" t="str">
        <f t="shared" si="5"/>
        <v>DRESS</v>
      </c>
      <c r="I406" s="3" t="str">
        <f t="shared" si="6"/>
        <v>WOMEN WAERS</v>
      </c>
      <c r="J406" s="3">
        <f t="shared" si="7"/>
        <v>3</v>
      </c>
      <c r="K406" s="3">
        <f t="shared" si="8"/>
        <v>600</v>
      </c>
      <c r="L406" s="4">
        <f t="shared" si="9"/>
        <v>0.5</v>
      </c>
      <c r="M406" s="3">
        <f t="shared" si="10"/>
        <v>900</v>
      </c>
      <c r="N406" s="3">
        <f t="shared" si="11"/>
        <v>630</v>
      </c>
      <c r="O406" s="3">
        <f t="shared" si="12"/>
        <v>270</v>
      </c>
      <c r="P406" s="3" t="str">
        <f t="shared" si="13"/>
        <v>WALLET</v>
      </c>
      <c r="Q406" s="3" t="str">
        <f t="shared" si="14"/>
        <v>DELIVERED</v>
      </c>
    </row>
    <row r="407">
      <c r="A407" s="1" t="s">
        <v>1270</v>
      </c>
      <c r="B407" s="2">
        <f t="shared" si="1"/>
        <v>46284</v>
      </c>
      <c r="C407" s="1" t="s">
        <v>1271</v>
      </c>
      <c r="D407" s="3" t="str">
        <f t="shared" si="2"/>
        <v>SUSA</v>
      </c>
      <c r="E407" s="3" t="str">
        <f t="shared" si="3"/>
        <v>UTTHRA PRADESH</v>
      </c>
      <c r="F407" s="3" t="str">
        <f t="shared" si="4"/>
        <v>LUCKNOW</v>
      </c>
      <c r="G407" s="1" t="s">
        <v>1272</v>
      </c>
      <c r="H407" s="3" t="str">
        <f t="shared" si="5"/>
        <v>BEAUTY</v>
      </c>
      <c r="I407" s="3" t="str">
        <f t="shared" si="6"/>
        <v>KAJAL</v>
      </c>
      <c r="J407" s="3">
        <f t="shared" si="7"/>
        <v>2</v>
      </c>
      <c r="K407" s="3">
        <f t="shared" si="8"/>
        <v>148</v>
      </c>
      <c r="L407" s="4">
        <f t="shared" si="9"/>
        <v>0.2</v>
      </c>
      <c r="M407" s="3">
        <f t="shared" si="10"/>
        <v>236.8</v>
      </c>
      <c r="N407" s="3">
        <f t="shared" si="11"/>
        <v>166</v>
      </c>
      <c r="O407" s="3">
        <f t="shared" si="12"/>
        <v>71</v>
      </c>
      <c r="P407" s="3" t="str">
        <f t="shared" si="13"/>
        <v>UPI</v>
      </c>
      <c r="Q407" s="3" t="str">
        <f t="shared" si="14"/>
        <v>SHIPPED</v>
      </c>
    </row>
    <row r="408">
      <c r="A408" s="1" t="s">
        <v>1273</v>
      </c>
      <c r="B408" s="2">
        <f t="shared" si="1"/>
        <v>46337</v>
      </c>
      <c r="C408" s="1" t="s">
        <v>1274</v>
      </c>
      <c r="D408" s="3" t="str">
        <f t="shared" si="2"/>
        <v>NIVE</v>
      </c>
      <c r="E408" s="3" t="str">
        <f t="shared" si="3"/>
        <v>GUJARAT</v>
      </c>
      <c r="F408" s="3" t="str">
        <f t="shared" si="4"/>
        <v>SURAT</v>
      </c>
      <c r="G408" s="1" t="s">
        <v>1275</v>
      </c>
      <c r="H408" s="3" t="str">
        <f t="shared" si="5"/>
        <v>HOME &amp; KITCHEN</v>
      </c>
      <c r="I408" s="3" t="str">
        <f t="shared" si="6"/>
        <v>MIXER GRAINDER</v>
      </c>
      <c r="J408" s="3">
        <f t="shared" si="7"/>
        <v>3</v>
      </c>
      <c r="K408" s="3">
        <f t="shared" si="8"/>
        <v>473</v>
      </c>
      <c r="L408" s="4">
        <f t="shared" si="9"/>
        <v>0.5</v>
      </c>
      <c r="M408" s="3">
        <f t="shared" si="10"/>
        <v>709.5</v>
      </c>
      <c r="N408" s="3">
        <f t="shared" si="11"/>
        <v>497</v>
      </c>
      <c r="O408" s="3">
        <f t="shared" si="12"/>
        <v>213</v>
      </c>
      <c r="P408" s="3" t="str">
        <f t="shared" si="13"/>
        <v>CARD</v>
      </c>
      <c r="Q408" s="3" t="str">
        <f t="shared" si="14"/>
        <v>CANCELLED</v>
      </c>
    </row>
    <row r="409">
      <c r="A409" s="1" t="s">
        <v>1276</v>
      </c>
      <c r="B409" s="2">
        <f t="shared" si="1"/>
        <v>46259</v>
      </c>
      <c r="C409" s="1" t="s">
        <v>1277</v>
      </c>
      <c r="D409" s="3" t="str">
        <f t="shared" si="2"/>
        <v>VINO</v>
      </c>
      <c r="E409" s="3" t="str">
        <f t="shared" si="3"/>
        <v>RAJASTHAN</v>
      </c>
      <c r="F409" s="3" t="str">
        <f t="shared" si="4"/>
        <v>JAIPUR</v>
      </c>
      <c r="G409" s="1" t="s">
        <v>1278</v>
      </c>
      <c r="H409" s="3" t="str">
        <f t="shared" si="5"/>
        <v>BOOKS</v>
      </c>
      <c r="I409" s="3" t="str">
        <f t="shared" si="6"/>
        <v>LIFE OF PI</v>
      </c>
      <c r="J409" s="3">
        <f t="shared" si="7"/>
        <v>4</v>
      </c>
      <c r="K409" s="3">
        <f t="shared" si="8"/>
        <v>558</v>
      </c>
      <c r="L409" s="4">
        <f t="shared" si="9"/>
        <v>0.5</v>
      </c>
      <c r="M409" s="3">
        <f t="shared" si="10"/>
        <v>1116</v>
      </c>
      <c r="N409" s="3">
        <f t="shared" si="11"/>
        <v>781</v>
      </c>
      <c r="O409" s="3">
        <f t="shared" si="12"/>
        <v>335</v>
      </c>
      <c r="P409" s="3" t="str">
        <f t="shared" si="13"/>
        <v>COD</v>
      </c>
      <c r="Q409" s="3" t="str">
        <f t="shared" si="14"/>
        <v>RETURNED</v>
      </c>
    </row>
    <row r="410">
      <c r="A410" s="1" t="s">
        <v>1279</v>
      </c>
      <c r="B410" s="2">
        <f t="shared" si="1"/>
        <v>46251</v>
      </c>
      <c r="C410" s="1" t="s">
        <v>1280</v>
      </c>
      <c r="D410" s="3" t="str">
        <f t="shared" si="2"/>
        <v>ABI</v>
      </c>
      <c r="E410" s="3" t="str">
        <f t="shared" si="3"/>
        <v>WEST BENGAL</v>
      </c>
      <c r="F410" s="3" t="str">
        <f t="shared" si="4"/>
        <v>KOLKATA</v>
      </c>
      <c r="G410" s="1" t="s">
        <v>1281</v>
      </c>
      <c r="H410" s="3" t="str">
        <f t="shared" si="5"/>
        <v>ACCESSORIES</v>
      </c>
      <c r="I410" s="3" t="str">
        <f t="shared" si="6"/>
        <v>EARRINGS</v>
      </c>
      <c r="J410" s="3">
        <f t="shared" si="7"/>
        <v>2</v>
      </c>
      <c r="K410" s="3">
        <f t="shared" si="8"/>
        <v>412</v>
      </c>
      <c r="L410" s="4">
        <f t="shared" si="9"/>
        <v>0.5</v>
      </c>
      <c r="M410" s="3">
        <f t="shared" si="10"/>
        <v>412</v>
      </c>
      <c r="N410" s="3">
        <f t="shared" si="11"/>
        <v>288</v>
      </c>
      <c r="O410" s="3">
        <f t="shared" si="12"/>
        <v>124</v>
      </c>
      <c r="P410" s="3" t="str">
        <f t="shared" si="13"/>
        <v>NET BANKING</v>
      </c>
      <c r="Q410" s="3" t="str">
        <f t="shared" si="14"/>
        <v>DELIVERED</v>
      </c>
    </row>
    <row r="411">
      <c r="A411" s="1" t="s">
        <v>1282</v>
      </c>
      <c r="B411" s="2">
        <f t="shared" si="1"/>
        <v>46172</v>
      </c>
      <c r="C411" s="1" t="s">
        <v>1283</v>
      </c>
      <c r="D411" s="3" t="str">
        <f t="shared" si="2"/>
        <v>NIHAAR</v>
      </c>
      <c r="E411" s="3" t="str">
        <f t="shared" si="3"/>
        <v>MAGARASTRA</v>
      </c>
      <c r="F411" s="3" t="str">
        <f t="shared" si="4"/>
        <v>PUNE</v>
      </c>
      <c r="G411" s="1" t="s">
        <v>1284</v>
      </c>
      <c r="H411" s="3" t="str">
        <f t="shared" si="5"/>
        <v>ELECTRONICS</v>
      </c>
      <c r="I411" s="3" t="str">
        <f t="shared" si="6"/>
        <v>WIRELESS EARBUDS</v>
      </c>
      <c r="J411" s="3">
        <f t="shared" si="7"/>
        <v>3</v>
      </c>
      <c r="K411" s="3">
        <f t="shared" si="8"/>
        <v>195</v>
      </c>
      <c r="L411" s="4">
        <f t="shared" si="9"/>
        <v>0.15</v>
      </c>
      <c r="M411" s="3">
        <f t="shared" si="10"/>
        <v>497.25</v>
      </c>
      <c r="N411" s="3">
        <f t="shared" si="11"/>
        <v>348</v>
      </c>
      <c r="O411" s="3">
        <f t="shared" si="12"/>
        <v>149</v>
      </c>
      <c r="P411" s="3" t="str">
        <f t="shared" si="13"/>
        <v>WALLET</v>
      </c>
      <c r="Q411" s="3" t="str">
        <f t="shared" si="14"/>
        <v>SHIPPED</v>
      </c>
    </row>
    <row r="412">
      <c r="A412" s="1" t="s">
        <v>1285</v>
      </c>
      <c r="B412" s="2">
        <f t="shared" si="1"/>
        <v>46155</v>
      </c>
      <c r="C412" s="1" t="s">
        <v>1286</v>
      </c>
      <c r="D412" s="3" t="str">
        <f t="shared" si="2"/>
        <v>SRI</v>
      </c>
      <c r="E412" s="3" t="str">
        <f t="shared" si="3"/>
        <v>TAMILNADU</v>
      </c>
      <c r="F412" s="3" t="str">
        <f t="shared" si="4"/>
        <v>THOOTHUKUDI</v>
      </c>
      <c r="G412" s="1" t="s">
        <v>1287</v>
      </c>
      <c r="H412" s="3" t="str">
        <f t="shared" si="5"/>
        <v>SPORTS</v>
      </c>
      <c r="I412" s="3" t="str">
        <f t="shared" si="6"/>
        <v>FOOTBALL</v>
      </c>
      <c r="J412" s="3">
        <f t="shared" si="7"/>
        <v>1</v>
      </c>
      <c r="K412" s="3">
        <f t="shared" si="8"/>
        <v>542</v>
      </c>
      <c r="L412" s="4">
        <f t="shared" si="9"/>
        <v>0.5</v>
      </c>
      <c r="M412" s="3">
        <f t="shared" si="10"/>
        <v>271</v>
      </c>
      <c r="N412" s="3">
        <f t="shared" si="11"/>
        <v>190</v>
      </c>
      <c r="O412" s="3">
        <f t="shared" si="12"/>
        <v>81</v>
      </c>
      <c r="P412" s="3" t="str">
        <f t="shared" si="13"/>
        <v>UPI</v>
      </c>
      <c r="Q412" s="3" t="str">
        <f t="shared" si="14"/>
        <v>CANCELLED</v>
      </c>
    </row>
    <row r="413">
      <c r="A413" s="1" t="s">
        <v>1288</v>
      </c>
      <c r="B413" s="2">
        <f t="shared" si="1"/>
        <v>46221</v>
      </c>
      <c r="C413" s="1" t="s">
        <v>1289</v>
      </c>
      <c r="D413" s="3" t="str">
        <f t="shared" si="2"/>
        <v>SHOBN</v>
      </c>
      <c r="E413" s="3" t="str">
        <f t="shared" si="3"/>
        <v>KERALA</v>
      </c>
      <c r="F413" s="3" t="str">
        <f t="shared" si="4"/>
        <v>KOCHI</v>
      </c>
      <c r="G413" s="1" t="s">
        <v>1290</v>
      </c>
      <c r="H413" s="3" t="str">
        <f t="shared" si="5"/>
        <v>FOOD</v>
      </c>
      <c r="I413" s="3" t="str">
        <f t="shared" si="6"/>
        <v>BIRIYANI</v>
      </c>
      <c r="J413" s="3">
        <f t="shared" si="7"/>
        <v>3</v>
      </c>
      <c r="K413" s="3">
        <f t="shared" si="8"/>
        <v>376</v>
      </c>
      <c r="L413" s="4">
        <f t="shared" si="9"/>
        <v>0</v>
      </c>
      <c r="M413" s="3">
        <f t="shared" si="10"/>
        <v>1128</v>
      </c>
      <c r="N413" s="3">
        <f t="shared" si="11"/>
        <v>790</v>
      </c>
      <c r="O413" s="3">
        <f t="shared" si="12"/>
        <v>338</v>
      </c>
      <c r="P413" s="3" t="str">
        <f t="shared" si="13"/>
        <v>CARD</v>
      </c>
      <c r="Q413" s="3" t="str">
        <f t="shared" si="14"/>
        <v>RETURNED</v>
      </c>
    </row>
    <row r="414">
      <c r="A414" s="1" t="s">
        <v>1291</v>
      </c>
      <c r="B414" s="2">
        <f t="shared" si="1"/>
        <v>46186</v>
      </c>
      <c r="C414" s="1" t="s">
        <v>1292</v>
      </c>
      <c r="D414" s="3" t="str">
        <f t="shared" si="2"/>
        <v>SOBI</v>
      </c>
      <c r="E414" s="3" t="str">
        <f t="shared" si="3"/>
        <v>KARNATAKA</v>
      </c>
      <c r="F414" s="3" t="str">
        <f t="shared" si="4"/>
        <v>BANGALURU</v>
      </c>
      <c r="G414" s="1" t="s">
        <v>1293</v>
      </c>
      <c r="H414" s="3" t="str">
        <f t="shared" si="5"/>
        <v>DRESS</v>
      </c>
      <c r="I414" s="3" t="str">
        <f t="shared" si="6"/>
        <v>WOMEN WAERS</v>
      </c>
      <c r="J414" s="3">
        <f t="shared" si="7"/>
        <v>1</v>
      </c>
      <c r="K414" s="3">
        <f t="shared" si="8"/>
        <v>136</v>
      </c>
      <c r="L414" s="4">
        <f t="shared" si="9"/>
        <v>0</v>
      </c>
      <c r="M414" s="3">
        <f t="shared" si="10"/>
        <v>136</v>
      </c>
      <c r="N414" s="3">
        <f t="shared" si="11"/>
        <v>95</v>
      </c>
      <c r="O414" s="3">
        <f t="shared" si="12"/>
        <v>41</v>
      </c>
      <c r="P414" s="3" t="str">
        <f t="shared" si="13"/>
        <v>COD</v>
      </c>
      <c r="Q414" s="3" t="str">
        <f t="shared" si="14"/>
        <v>DELIVERED</v>
      </c>
    </row>
    <row r="415">
      <c r="A415" s="1" t="s">
        <v>1294</v>
      </c>
      <c r="B415" s="2">
        <f t="shared" si="1"/>
        <v>46163</v>
      </c>
      <c r="C415" s="1" t="s">
        <v>1295</v>
      </c>
      <c r="D415" s="3" t="str">
        <f t="shared" si="2"/>
        <v>SUJI</v>
      </c>
      <c r="E415" s="3" t="str">
        <f t="shared" si="3"/>
        <v>ANDHRA PRADESH</v>
      </c>
      <c r="F415" s="3" t="str">
        <f t="shared" si="4"/>
        <v>TIRUPATI</v>
      </c>
      <c r="G415" s="1" t="s">
        <v>1296</v>
      </c>
      <c r="H415" s="3" t="str">
        <f t="shared" si="5"/>
        <v>BEAUTY</v>
      </c>
      <c r="I415" s="3" t="str">
        <f t="shared" si="6"/>
        <v>KAJAL</v>
      </c>
      <c r="J415" s="3">
        <f t="shared" si="7"/>
        <v>3</v>
      </c>
      <c r="K415" s="3">
        <f t="shared" si="8"/>
        <v>215</v>
      </c>
      <c r="L415" s="4">
        <f t="shared" si="9"/>
        <v>0.5</v>
      </c>
      <c r="M415" s="3">
        <f t="shared" si="10"/>
        <v>322.5</v>
      </c>
      <c r="N415" s="3">
        <f t="shared" si="11"/>
        <v>226</v>
      </c>
      <c r="O415" s="3">
        <f t="shared" si="12"/>
        <v>97</v>
      </c>
      <c r="P415" s="3" t="str">
        <f t="shared" si="13"/>
        <v>NET BANKING</v>
      </c>
      <c r="Q415" s="3" t="str">
        <f t="shared" si="14"/>
        <v>SHIPPED</v>
      </c>
    </row>
    <row r="416">
      <c r="A416" s="1" t="s">
        <v>1297</v>
      </c>
      <c r="B416" s="2">
        <f t="shared" si="1"/>
        <v>46370</v>
      </c>
      <c r="C416" s="1" t="s">
        <v>1298</v>
      </c>
      <c r="D416" s="3" t="str">
        <f t="shared" si="2"/>
        <v>RATHA</v>
      </c>
      <c r="E416" s="3" t="str">
        <f t="shared" si="3"/>
        <v>TELUGANA</v>
      </c>
      <c r="F416" s="3" t="str">
        <f t="shared" si="4"/>
        <v>HYDERABAD</v>
      </c>
      <c r="G416" s="1" t="s">
        <v>1299</v>
      </c>
      <c r="H416" s="3" t="str">
        <f t="shared" si="5"/>
        <v>HOME &amp; KITCHEN</v>
      </c>
      <c r="I416" s="3" t="str">
        <f t="shared" si="6"/>
        <v>MIXER GRAINDER</v>
      </c>
      <c r="J416" s="3">
        <f t="shared" si="7"/>
        <v>5</v>
      </c>
      <c r="K416" s="3">
        <f t="shared" si="8"/>
        <v>586</v>
      </c>
      <c r="L416" s="4">
        <f t="shared" si="9"/>
        <v>0.2</v>
      </c>
      <c r="M416" s="3">
        <f t="shared" si="10"/>
        <v>2344</v>
      </c>
      <c r="N416" s="3">
        <f t="shared" si="11"/>
        <v>1641</v>
      </c>
      <c r="O416" s="3">
        <f t="shared" si="12"/>
        <v>703</v>
      </c>
      <c r="P416" s="3" t="str">
        <f t="shared" si="13"/>
        <v>WALLET</v>
      </c>
      <c r="Q416" s="3" t="str">
        <f t="shared" si="14"/>
        <v>CANCELLED</v>
      </c>
    </row>
    <row r="417">
      <c r="A417" s="1" t="s">
        <v>1300</v>
      </c>
      <c r="B417" s="2">
        <f t="shared" si="1"/>
        <v>46098</v>
      </c>
      <c r="C417" s="1" t="s">
        <v>1301</v>
      </c>
      <c r="D417" s="3" t="str">
        <f t="shared" si="2"/>
        <v>SUSA</v>
      </c>
      <c r="E417" s="3" t="str">
        <f t="shared" si="3"/>
        <v>UTTHRA PRADESH</v>
      </c>
      <c r="F417" s="3" t="str">
        <f t="shared" si="4"/>
        <v>LUCKNOW</v>
      </c>
      <c r="G417" s="1" t="s">
        <v>1302</v>
      </c>
      <c r="H417" s="3" t="str">
        <f t="shared" si="5"/>
        <v>BOOKS</v>
      </c>
      <c r="I417" s="3" t="str">
        <f t="shared" si="6"/>
        <v>LIFE OF PI</v>
      </c>
      <c r="J417" s="3">
        <f t="shared" si="7"/>
        <v>4</v>
      </c>
      <c r="K417" s="3">
        <f t="shared" si="8"/>
        <v>231</v>
      </c>
      <c r="L417" s="4">
        <f t="shared" si="9"/>
        <v>0.17</v>
      </c>
      <c r="M417" s="3">
        <f t="shared" si="10"/>
        <v>766.92</v>
      </c>
      <c r="N417" s="3">
        <f t="shared" si="11"/>
        <v>537</v>
      </c>
      <c r="O417" s="3">
        <f t="shared" si="12"/>
        <v>230</v>
      </c>
      <c r="P417" s="3" t="str">
        <f t="shared" si="13"/>
        <v>UPI</v>
      </c>
      <c r="Q417" s="3" t="str">
        <f t="shared" si="14"/>
        <v>RETURNED</v>
      </c>
    </row>
    <row r="418">
      <c r="A418" s="1" t="s">
        <v>1303</v>
      </c>
      <c r="B418" s="2">
        <f t="shared" si="1"/>
        <v>46342</v>
      </c>
      <c r="C418" s="1" t="s">
        <v>1304</v>
      </c>
      <c r="D418" s="3" t="str">
        <f t="shared" si="2"/>
        <v>NIVE</v>
      </c>
      <c r="E418" s="3" t="str">
        <f t="shared" si="3"/>
        <v>GUJARAT</v>
      </c>
      <c r="F418" s="3" t="str">
        <f t="shared" si="4"/>
        <v>SURAT</v>
      </c>
      <c r="G418" s="1" t="s">
        <v>1305</v>
      </c>
      <c r="H418" s="3" t="str">
        <f t="shared" si="5"/>
        <v>ACCESSORIES</v>
      </c>
      <c r="I418" s="3" t="str">
        <f t="shared" si="6"/>
        <v>EARRINGS</v>
      </c>
      <c r="J418" s="3">
        <f t="shared" si="7"/>
        <v>2</v>
      </c>
      <c r="K418" s="3">
        <f t="shared" si="8"/>
        <v>542</v>
      </c>
      <c r="L418" s="4">
        <f t="shared" si="9"/>
        <v>0.1</v>
      </c>
      <c r="M418" s="3">
        <f t="shared" si="10"/>
        <v>975.6</v>
      </c>
      <c r="N418" s="3">
        <f t="shared" si="11"/>
        <v>683</v>
      </c>
      <c r="O418" s="3">
        <f t="shared" si="12"/>
        <v>293</v>
      </c>
      <c r="P418" s="3" t="str">
        <f t="shared" si="13"/>
        <v>CARD</v>
      </c>
      <c r="Q418" s="3" t="str">
        <f t="shared" si="14"/>
        <v>DELIVERED</v>
      </c>
    </row>
    <row r="419">
      <c r="A419" s="1" t="s">
        <v>1306</v>
      </c>
      <c r="B419" s="2">
        <f t="shared" si="1"/>
        <v>46162</v>
      </c>
      <c r="C419" s="1" t="s">
        <v>1307</v>
      </c>
      <c r="D419" s="3" t="str">
        <f t="shared" si="2"/>
        <v>VINO</v>
      </c>
      <c r="E419" s="3" t="str">
        <f t="shared" si="3"/>
        <v>RAJASTHAN</v>
      </c>
      <c r="F419" s="3" t="str">
        <f t="shared" si="4"/>
        <v>JAIPUR</v>
      </c>
      <c r="G419" s="1" t="s">
        <v>1308</v>
      </c>
      <c r="H419" s="3" t="str">
        <f t="shared" si="5"/>
        <v>ELECTRONICS</v>
      </c>
      <c r="I419" s="3" t="str">
        <f t="shared" si="6"/>
        <v>WIRELESS EARBUDS</v>
      </c>
      <c r="J419" s="3">
        <f t="shared" si="7"/>
        <v>1</v>
      </c>
      <c r="K419" s="3">
        <f t="shared" si="8"/>
        <v>277</v>
      </c>
      <c r="L419" s="4">
        <f t="shared" si="9"/>
        <v>0.17</v>
      </c>
      <c r="M419" s="3">
        <f t="shared" si="10"/>
        <v>229.91</v>
      </c>
      <c r="N419" s="3">
        <f t="shared" si="11"/>
        <v>161</v>
      </c>
      <c r="O419" s="3">
        <f t="shared" si="12"/>
        <v>69</v>
      </c>
      <c r="P419" s="3" t="str">
        <f t="shared" si="13"/>
        <v>COD</v>
      </c>
      <c r="Q419" s="3" t="str">
        <f t="shared" si="14"/>
        <v>SHIPPED</v>
      </c>
    </row>
    <row r="420">
      <c r="A420" s="1" t="s">
        <v>1309</v>
      </c>
      <c r="B420" s="2">
        <f t="shared" si="1"/>
        <v>46340</v>
      </c>
      <c r="C420" s="1" t="s">
        <v>1310</v>
      </c>
      <c r="D420" s="3" t="str">
        <f t="shared" si="2"/>
        <v>ABI</v>
      </c>
      <c r="E420" s="3" t="str">
        <f t="shared" si="3"/>
        <v>WEST BENGAL</v>
      </c>
      <c r="F420" s="3" t="str">
        <f t="shared" si="4"/>
        <v>KOLKATA</v>
      </c>
      <c r="G420" s="1" t="s">
        <v>1311</v>
      </c>
      <c r="H420" s="3" t="str">
        <f t="shared" si="5"/>
        <v>SPORTS</v>
      </c>
      <c r="I420" s="3" t="str">
        <f t="shared" si="6"/>
        <v>FOOTBALL</v>
      </c>
      <c r="J420" s="3">
        <f t="shared" si="7"/>
        <v>4</v>
      </c>
      <c r="K420" s="3">
        <f t="shared" si="8"/>
        <v>333</v>
      </c>
      <c r="L420" s="4">
        <f t="shared" si="9"/>
        <v>0.1</v>
      </c>
      <c r="M420" s="3">
        <f t="shared" si="10"/>
        <v>1198.8</v>
      </c>
      <c r="N420" s="3">
        <f t="shared" si="11"/>
        <v>839</v>
      </c>
      <c r="O420" s="3">
        <f t="shared" si="12"/>
        <v>360</v>
      </c>
      <c r="P420" s="3" t="str">
        <f t="shared" si="13"/>
        <v>NET BANKING</v>
      </c>
      <c r="Q420" s="3" t="str">
        <f t="shared" si="14"/>
        <v>CANCELLED</v>
      </c>
    </row>
    <row r="421">
      <c r="A421" s="1" t="s">
        <v>1312</v>
      </c>
      <c r="B421" s="2">
        <f t="shared" si="1"/>
        <v>46161</v>
      </c>
      <c r="C421" s="1" t="s">
        <v>1313</v>
      </c>
      <c r="D421" s="3" t="str">
        <f t="shared" si="2"/>
        <v>NIHAAR</v>
      </c>
      <c r="E421" s="3" t="str">
        <f t="shared" si="3"/>
        <v>MAGARASTRA</v>
      </c>
      <c r="F421" s="3" t="str">
        <f t="shared" si="4"/>
        <v>PUNE</v>
      </c>
      <c r="G421" s="1" t="s">
        <v>1314</v>
      </c>
      <c r="H421" s="3" t="str">
        <f t="shared" si="5"/>
        <v>FOOD</v>
      </c>
      <c r="I421" s="3" t="str">
        <f t="shared" si="6"/>
        <v>BIRIYANI</v>
      </c>
      <c r="J421" s="3">
        <f t="shared" si="7"/>
        <v>4</v>
      </c>
      <c r="K421" s="3">
        <f t="shared" si="8"/>
        <v>177</v>
      </c>
      <c r="L421" s="4">
        <f t="shared" si="9"/>
        <v>0.17</v>
      </c>
      <c r="M421" s="3">
        <f t="shared" si="10"/>
        <v>587.64</v>
      </c>
      <c r="N421" s="3">
        <f t="shared" si="11"/>
        <v>411</v>
      </c>
      <c r="O421" s="3">
        <f t="shared" si="12"/>
        <v>177</v>
      </c>
      <c r="P421" s="3" t="str">
        <f t="shared" si="13"/>
        <v>WALLET</v>
      </c>
      <c r="Q421" s="3" t="str">
        <f t="shared" si="14"/>
        <v>RETURNED</v>
      </c>
    </row>
    <row r="422">
      <c r="A422" s="1" t="s">
        <v>1315</v>
      </c>
      <c r="B422" s="2">
        <f t="shared" si="1"/>
        <v>46264</v>
      </c>
      <c r="C422" s="1" t="s">
        <v>1316</v>
      </c>
      <c r="D422" s="3" t="str">
        <f t="shared" si="2"/>
        <v>SRI</v>
      </c>
      <c r="E422" s="3" t="str">
        <f t="shared" si="3"/>
        <v>TAMILNADU</v>
      </c>
      <c r="F422" s="3" t="str">
        <f t="shared" si="4"/>
        <v>THOOTHUKUDI</v>
      </c>
      <c r="G422" s="1" t="s">
        <v>1317</v>
      </c>
      <c r="H422" s="3" t="str">
        <f t="shared" si="5"/>
        <v>DRESS</v>
      </c>
      <c r="I422" s="3" t="str">
        <f t="shared" si="6"/>
        <v>WOMEN WAERS</v>
      </c>
      <c r="J422" s="3">
        <f t="shared" si="7"/>
        <v>2</v>
      </c>
      <c r="K422" s="3">
        <f t="shared" si="8"/>
        <v>407</v>
      </c>
      <c r="L422" s="4">
        <f t="shared" si="9"/>
        <v>0.17</v>
      </c>
      <c r="M422" s="3">
        <f t="shared" si="10"/>
        <v>675.62</v>
      </c>
      <c r="N422" s="3">
        <f t="shared" si="11"/>
        <v>473</v>
      </c>
      <c r="O422" s="3">
        <f t="shared" si="12"/>
        <v>203</v>
      </c>
      <c r="P422" s="3" t="str">
        <f t="shared" si="13"/>
        <v>UPI</v>
      </c>
      <c r="Q422" s="3" t="str">
        <f t="shared" si="14"/>
        <v>DELIVERED</v>
      </c>
    </row>
    <row r="423">
      <c r="A423" s="1" t="s">
        <v>1318</v>
      </c>
      <c r="B423" s="2">
        <f t="shared" si="1"/>
        <v>46327</v>
      </c>
      <c r="C423" s="1" t="s">
        <v>1319</v>
      </c>
      <c r="D423" s="3" t="str">
        <f t="shared" si="2"/>
        <v>SHOBN</v>
      </c>
      <c r="E423" s="3" t="str">
        <f t="shared" si="3"/>
        <v>KERALA</v>
      </c>
      <c r="F423" s="3" t="str">
        <f t="shared" si="4"/>
        <v>KOCHI</v>
      </c>
      <c r="G423" s="1" t="s">
        <v>1320</v>
      </c>
      <c r="H423" s="3" t="str">
        <f t="shared" si="5"/>
        <v>BEAUTY</v>
      </c>
      <c r="I423" s="3" t="str">
        <f t="shared" si="6"/>
        <v>KAJAL</v>
      </c>
      <c r="J423" s="3">
        <f t="shared" si="7"/>
        <v>1</v>
      </c>
      <c r="K423" s="3">
        <f t="shared" si="8"/>
        <v>143</v>
      </c>
      <c r="L423" s="4">
        <f t="shared" si="9"/>
        <v>0.2</v>
      </c>
      <c r="M423" s="3">
        <f t="shared" si="10"/>
        <v>114.4</v>
      </c>
      <c r="N423" s="3">
        <f t="shared" si="11"/>
        <v>80</v>
      </c>
      <c r="O423" s="3">
        <f t="shared" si="12"/>
        <v>34</v>
      </c>
      <c r="P423" s="3" t="str">
        <f t="shared" si="13"/>
        <v>CARD</v>
      </c>
      <c r="Q423" s="3" t="str">
        <f t="shared" si="14"/>
        <v>SHIPPED</v>
      </c>
    </row>
    <row r="424">
      <c r="A424" s="1" t="s">
        <v>1321</v>
      </c>
      <c r="B424" s="2">
        <f t="shared" si="1"/>
        <v>46240</v>
      </c>
      <c r="C424" s="1" t="s">
        <v>1322</v>
      </c>
      <c r="D424" s="3" t="str">
        <f t="shared" si="2"/>
        <v>SOBI</v>
      </c>
      <c r="E424" s="3" t="str">
        <f t="shared" si="3"/>
        <v>KARNATAKA</v>
      </c>
      <c r="F424" s="3" t="str">
        <f t="shared" si="4"/>
        <v>BANGALURU</v>
      </c>
      <c r="G424" s="1" t="s">
        <v>1323</v>
      </c>
      <c r="H424" s="3" t="str">
        <f t="shared" si="5"/>
        <v>HOME &amp; KITCHEN</v>
      </c>
      <c r="I424" s="3" t="str">
        <f t="shared" si="6"/>
        <v>MIXER GRAINDER</v>
      </c>
      <c r="J424" s="3">
        <f t="shared" si="7"/>
        <v>4</v>
      </c>
      <c r="K424" s="3">
        <f t="shared" si="8"/>
        <v>346</v>
      </c>
      <c r="L424" s="4">
        <f t="shared" si="9"/>
        <v>0.1</v>
      </c>
      <c r="M424" s="3">
        <f t="shared" si="10"/>
        <v>1245.6</v>
      </c>
      <c r="N424" s="3">
        <f t="shared" si="11"/>
        <v>872</v>
      </c>
      <c r="O424" s="3">
        <f t="shared" si="12"/>
        <v>374</v>
      </c>
      <c r="P424" s="3" t="str">
        <f t="shared" si="13"/>
        <v>COD</v>
      </c>
      <c r="Q424" s="3" t="str">
        <f t="shared" si="14"/>
        <v>CANCELLED</v>
      </c>
    </row>
    <row r="425">
      <c r="A425" s="1" t="s">
        <v>1324</v>
      </c>
      <c r="B425" s="2">
        <f t="shared" si="1"/>
        <v>46278</v>
      </c>
      <c r="C425" s="1" t="s">
        <v>1325</v>
      </c>
      <c r="D425" s="3" t="str">
        <f t="shared" si="2"/>
        <v>SUJI</v>
      </c>
      <c r="E425" s="3" t="str">
        <f t="shared" si="3"/>
        <v>ANDHRA PRADESH</v>
      </c>
      <c r="F425" s="3" t="str">
        <f t="shared" si="4"/>
        <v>TIRUPATI</v>
      </c>
      <c r="G425" s="1" t="s">
        <v>1326</v>
      </c>
      <c r="H425" s="3" t="str">
        <f t="shared" si="5"/>
        <v>BOOKS</v>
      </c>
      <c r="I425" s="3" t="str">
        <f t="shared" si="6"/>
        <v>LIFE OF PI</v>
      </c>
      <c r="J425" s="3">
        <f t="shared" si="7"/>
        <v>2</v>
      </c>
      <c r="K425" s="3">
        <f t="shared" si="8"/>
        <v>317</v>
      </c>
      <c r="L425" s="4">
        <f t="shared" si="9"/>
        <v>0</v>
      </c>
      <c r="M425" s="3">
        <f t="shared" si="10"/>
        <v>634</v>
      </c>
      <c r="N425" s="3">
        <f t="shared" si="11"/>
        <v>444</v>
      </c>
      <c r="O425" s="3">
        <f t="shared" si="12"/>
        <v>190</v>
      </c>
      <c r="P425" s="3" t="str">
        <f t="shared" si="13"/>
        <v>NET BANKING</v>
      </c>
      <c r="Q425" s="3" t="str">
        <f t="shared" si="14"/>
        <v>RETURNED</v>
      </c>
    </row>
    <row r="426">
      <c r="A426" s="1" t="s">
        <v>1327</v>
      </c>
      <c r="B426" s="2">
        <f t="shared" si="1"/>
        <v>46270</v>
      </c>
      <c r="C426" s="1" t="s">
        <v>1328</v>
      </c>
      <c r="D426" s="3" t="str">
        <f t="shared" si="2"/>
        <v>RATHA</v>
      </c>
      <c r="E426" s="3" t="str">
        <f t="shared" si="3"/>
        <v>TELUGANA</v>
      </c>
      <c r="F426" s="3" t="str">
        <f t="shared" si="4"/>
        <v>HYDERABAD</v>
      </c>
      <c r="G426" s="1" t="s">
        <v>1329</v>
      </c>
      <c r="H426" s="3" t="str">
        <f t="shared" si="5"/>
        <v>ACCESSORIES</v>
      </c>
      <c r="I426" s="3" t="str">
        <f t="shared" si="6"/>
        <v>EARRINGS</v>
      </c>
      <c r="J426" s="3">
        <f t="shared" si="7"/>
        <v>2</v>
      </c>
      <c r="K426" s="3">
        <f t="shared" si="8"/>
        <v>397</v>
      </c>
      <c r="L426" s="4">
        <f t="shared" si="9"/>
        <v>0.17</v>
      </c>
      <c r="M426" s="3">
        <f t="shared" si="10"/>
        <v>659.02</v>
      </c>
      <c r="N426" s="3">
        <f t="shared" si="11"/>
        <v>461</v>
      </c>
      <c r="O426" s="3">
        <f t="shared" si="12"/>
        <v>198</v>
      </c>
      <c r="P426" s="3" t="str">
        <f t="shared" si="13"/>
        <v>WALLET</v>
      </c>
      <c r="Q426" s="3" t="str">
        <f t="shared" si="14"/>
        <v>DELIVERED</v>
      </c>
    </row>
    <row r="427">
      <c r="A427" s="1" t="s">
        <v>1330</v>
      </c>
      <c r="B427" s="2">
        <f t="shared" si="1"/>
        <v>46260</v>
      </c>
      <c r="C427" s="1" t="s">
        <v>1331</v>
      </c>
      <c r="D427" s="3" t="str">
        <f t="shared" si="2"/>
        <v>SUSA</v>
      </c>
      <c r="E427" s="3" t="str">
        <f t="shared" si="3"/>
        <v>UTTHRA PRADESH</v>
      </c>
      <c r="F427" s="3" t="str">
        <f t="shared" si="4"/>
        <v>LUCKNOW</v>
      </c>
      <c r="G427" s="1" t="s">
        <v>1332</v>
      </c>
      <c r="H427" s="3" t="str">
        <f t="shared" si="5"/>
        <v>ELECTRONICS</v>
      </c>
      <c r="I427" s="3" t="str">
        <f t="shared" si="6"/>
        <v>WIRELESS EARBUDS</v>
      </c>
      <c r="J427" s="3">
        <f t="shared" si="7"/>
        <v>2</v>
      </c>
      <c r="K427" s="3">
        <f t="shared" si="8"/>
        <v>351</v>
      </c>
      <c r="L427" s="4">
        <f t="shared" si="9"/>
        <v>0.15</v>
      </c>
      <c r="M427" s="3">
        <f t="shared" si="10"/>
        <v>596.7</v>
      </c>
      <c r="N427" s="3">
        <f t="shared" si="11"/>
        <v>418</v>
      </c>
      <c r="O427" s="3">
        <f t="shared" si="12"/>
        <v>179</v>
      </c>
      <c r="P427" s="3" t="str">
        <f t="shared" si="13"/>
        <v>UPI</v>
      </c>
      <c r="Q427" s="3" t="str">
        <f t="shared" si="14"/>
        <v>SHIPPED</v>
      </c>
    </row>
    <row r="428">
      <c r="A428" s="1" t="s">
        <v>1333</v>
      </c>
      <c r="B428" s="2">
        <f t="shared" si="1"/>
        <v>46175</v>
      </c>
      <c r="C428" s="1" t="s">
        <v>1334</v>
      </c>
      <c r="D428" s="3" t="str">
        <f t="shared" si="2"/>
        <v>NIVE</v>
      </c>
      <c r="E428" s="3" t="str">
        <f t="shared" si="3"/>
        <v>GUJARAT</v>
      </c>
      <c r="F428" s="3" t="str">
        <f t="shared" si="4"/>
        <v>SURAT</v>
      </c>
      <c r="G428" s="1" t="s">
        <v>1335</v>
      </c>
      <c r="H428" s="3" t="str">
        <f t="shared" si="5"/>
        <v>SPORTS</v>
      </c>
      <c r="I428" s="3" t="str">
        <f t="shared" si="6"/>
        <v>FOOTBALL</v>
      </c>
      <c r="J428" s="3">
        <f t="shared" si="7"/>
        <v>4</v>
      </c>
      <c r="K428" s="3">
        <f t="shared" si="8"/>
        <v>213</v>
      </c>
      <c r="L428" s="4">
        <f t="shared" si="9"/>
        <v>0.1</v>
      </c>
      <c r="M428" s="3">
        <f t="shared" si="10"/>
        <v>766.8</v>
      </c>
      <c r="N428" s="3">
        <f t="shared" si="11"/>
        <v>537</v>
      </c>
      <c r="O428" s="3">
        <f t="shared" si="12"/>
        <v>230</v>
      </c>
      <c r="P428" s="3" t="str">
        <f t="shared" si="13"/>
        <v>CARD</v>
      </c>
      <c r="Q428" s="3" t="str">
        <f t="shared" si="14"/>
        <v>CANCELLED</v>
      </c>
    </row>
    <row r="429">
      <c r="A429" s="1" t="s">
        <v>1336</v>
      </c>
      <c r="B429" s="2">
        <f t="shared" si="1"/>
        <v>46218</v>
      </c>
      <c r="C429" s="1" t="s">
        <v>1337</v>
      </c>
      <c r="D429" s="3" t="str">
        <f t="shared" si="2"/>
        <v>VINO</v>
      </c>
      <c r="E429" s="3" t="str">
        <f t="shared" si="3"/>
        <v>RAJASTHAN</v>
      </c>
      <c r="F429" s="3" t="str">
        <f t="shared" si="4"/>
        <v>JAIPUR</v>
      </c>
      <c r="G429" s="1" t="s">
        <v>1338</v>
      </c>
      <c r="H429" s="3" t="str">
        <f t="shared" si="5"/>
        <v>FOOD</v>
      </c>
      <c r="I429" s="3" t="str">
        <f t="shared" si="6"/>
        <v>BIRIYANI</v>
      </c>
      <c r="J429" s="3">
        <f t="shared" si="7"/>
        <v>2</v>
      </c>
      <c r="K429" s="3">
        <f t="shared" si="8"/>
        <v>252</v>
      </c>
      <c r="L429" s="4">
        <f t="shared" si="9"/>
        <v>0.1</v>
      </c>
      <c r="M429" s="3">
        <f t="shared" si="10"/>
        <v>453.6</v>
      </c>
      <c r="N429" s="3">
        <f t="shared" si="11"/>
        <v>318</v>
      </c>
      <c r="O429" s="3">
        <f t="shared" si="12"/>
        <v>136</v>
      </c>
      <c r="P429" s="3" t="str">
        <f t="shared" si="13"/>
        <v>COD</v>
      </c>
      <c r="Q429" s="3" t="str">
        <f t="shared" si="14"/>
        <v>RETURNED</v>
      </c>
    </row>
    <row r="430">
      <c r="A430" s="1" t="s">
        <v>1339</v>
      </c>
      <c r="B430" s="2">
        <f t="shared" si="1"/>
        <v>46343</v>
      </c>
      <c r="C430" s="1" t="s">
        <v>1340</v>
      </c>
      <c r="D430" s="3" t="str">
        <f t="shared" si="2"/>
        <v>ABI</v>
      </c>
      <c r="E430" s="3" t="str">
        <f t="shared" si="3"/>
        <v>WEST BENGAL</v>
      </c>
      <c r="F430" s="3" t="str">
        <f t="shared" si="4"/>
        <v>KOLKATA</v>
      </c>
      <c r="G430" s="1" t="s">
        <v>1341</v>
      </c>
      <c r="H430" s="3" t="str">
        <f t="shared" si="5"/>
        <v>DRESS</v>
      </c>
      <c r="I430" s="3" t="str">
        <f t="shared" si="6"/>
        <v>WOMEN WAERS</v>
      </c>
      <c r="J430" s="3">
        <f t="shared" si="7"/>
        <v>5</v>
      </c>
      <c r="K430" s="3">
        <f t="shared" si="8"/>
        <v>552</v>
      </c>
      <c r="L430" s="4">
        <f t="shared" si="9"/>
        <v>0.1</v>
      </c>
      <c r="M430" s="3">
        <f t="shared" si="10"/>
        <v>2484</v>
      </c>
      <c r="N430" s="3">
        <f t="shared" si="11"/>
        <v>1739</v>
      </c>
      <c r="O430" s="3">
        <f t="shared" si="12"/>
        <v>745</v>
      </c>
      <c r="P430" s="3" t="str">
        <f t="shared" si="13"/>
        <v>NET BANKING</v>
      </c>
      <c r="Q430" s="3" t="str">
        <f t="shared" si="14"/>
        <v>DELIVERED</v>
      </c>
    </row>
    <row r="431">
      <c r="A431" s="1" t="s">
        <v>1342</v>
      </c>
      <c r="B431" s="2">
        <f t="shared" si="1"/>
        <v>46146</v>
      </c>
      <c r="C431" s="1" t="s">
        <v>1343</v>
      </c>
      <c r="D431" s="3" t="str">
        <f t="shared" si="2"/>
        <v>NIHAAR</v>
      </c>
      <c r="E431" s="3" t="str">
        <f t="shared" si="3"/>
        <v>MAGARASTRA</v>
      </c>
      <c r="F431" s="3" t="str">
        <f t="shared" si="4"/>
        <v>PUNE</v>
      </c>
      <c r="G431" s="1" t="s">
        <v>1344</v>
      </c>
      <c r="H431" s="3" t="str">
        <f t="shared" si="5"/>
        <v>BEAUTY</v>
      </c>
      <c r="I431" s="3" t="str">
        <f t="shared" si="6"/>
        <v>KAJAL</v>
      </c>
      <c r="J431" s="3">
        <f t="shared" si="7"/>
        <v>5</v>
      </c>
      <c r="K431" s="3">
        <f t="shared" si="8"/>
        <v>462</v>
      </c>
      <c r="L431" s="4">
        <f t="shared" si="9"/>
        <v>0</v>
      </c>
      <c r="M431" s="3">
        <f t="shared" si="10"/>
        <v>2310</v>
      </c>
      <c r="N431" s="3">
        <f t="shared" si="11"/>
        <v>1617</v>
      </c>
      <c r="O431" s="3">
        <f t="shared" si="12"/>
        <v>693</v>
      </c>
      <c r="P431" s="3" t="str">
        <f t="shared" si="13"/>
        <v>WALLET</v>
      </c>
      <c r="Q431" s="3" t="str">
        <f t="shared" si="14"/>
        <v>SHIPPED</v>
      </c>
    </row>
    <row r="432">
      <c r="A432" s="1" t="s">
        <v>1345</v>
      </c>
      <c r="B432" s="2">
        <f t="shared" si="1"/>
        <v>46252</v>
      </c>
      <c r="C432" s="1" t="s">
        <v>1346</v>
      </c>
      <c r="D432" s="3" t="str">
        <f t="shared" si="2"/>
        <v>SRI</v>
      </c>
      <c r="E432" s="3" t="str">
        <f t="shared" si="3"/>
        <v>TAMILNADU</v>
      </c>
      <c r="F432" s="3" t="str">
        <f t="shared" si="4"/>
        <v>THOOTHUKUDI</v>
      </c>
      <c r="G432" s="1" t="s">
        <v>1347</v>
      </c>
      <c r="H432" s="3" t="str">
        <f t="shared" si="5"/>
        <v>HOME &amp; KITCHEN</v>
      </c>
      <c r="I432" s="3" t="str">
        <f t="shared" si="6"/>
        <v>MIXER GRAINDER</v>
      </c>
      <c r="J432" s="3">
        <f t="shared" si="7"/>
        <v>4</v>
      </c>
      <c r="K432" s="3">
        <f t="shared" si="8"/>
        <v>360</v>
      </c>
      <c r="L432" s="4">
        <f t="shared" si="9"/>
        <v>0.17</v>
      </c>
      <c r="M432" s="3">
        <f t="shared" si="10"/>
        <v>1195.2</v>
      </c>
      <c r="N432" s="3">
        <f t="shared" si="11"/>
        <v>837</v>
      </c>
      <c r="O432" s="3">
        <f t="shared" si="12"/>
        <v>358</v>
      </c>
      <c r="P432" s="3" t="str">
        <f t="shared" si="13"/>
        <v>UPI</v>
      </c>
      <c r="Q432" s="3" t="str">
        <f t="shared" si="14"/>
        <v>CANCELLED</v>
      </c>
    </row>
    <row r="433">
      <c r="A433" s="1" t="s">
        <v>1348</v>
      </c>
      <c r="B433" s="2">
        <f t="shared" si="1"/>
        <v>46383</v>
      </c>
      <c r="C433" s="1" t="s">
        <v>1349</v>
      </c>
      <c r="D433" s="3" t="str">
        <f t="shared" si="2"/>
        <v>SHOBN</v>
      </c>
      <c r="E433" s="3" t="str">
        <f t="shared" si="3"/>
        <v>KERALA</v>
      </c>
      <c r="F433" s="3" t="str">
        <f t="shared" si="4"/>
        <v>KOCHI</v>
      </c>
      <c r="G433" s="1" t="s">
        <v>1350</v>
      </c>
      <c r="H433" s="3" t="str">
        <f t="shared" si="5"/>
        <v>BOOKS</v>
      </c>
      <c r="I433" s="3" t="str">
        <f t="shared" si="6"/>
        <v>LIFE OF PI</v>
      </c>
      <c r="J433" s="3">
        <f t="shared" si="7"/>
        <v>2</v>
      </c>
      <c r="K433" s="3">
        <f t="shared" si="8"/>
        <v>174</v>
      </c>
      <c r="L433" s="4">
        <f t="shared" si="9"/>
        <v>0.2</v>
      </c>
      <c r="M433" s="3">
        <f t="shared" si="10"/>
        <v>278.4</v>
      </c>
      <c r="N433" s="3">
        <f t="shared" si="11"/>
        <v>195</v>
      </c>
      <c r="O433" s="3">
        <f t="shared" si="12"/>
        <v>83</v>
      </c>
      <c r="P433" s="3" t="str">
        <f t="shared" si="13"/>
        <v>CARD</v>
      </c>
      <c r="Q433" s="3" t="str">
        <f t="shared" si="14"/>
        <v>RETURNED</v>
      </c>
    </row>
    <row r="434">
      <c r="A434" s="1" t="s">
        <v>1351</v>
      </c>
      <c r="B434" s="2">
        <f t="shared" si="1"/>
        <v>46366</v>
      </c>
      <c r="C434" s="1" t="s">
        <v>1352</v>
      </c>
      <c r="D434" s="3" t="str">
        <f t="shared" si="2"/>
        <v>SOBI</v>
      </c>
      <c r="E434" s="3" t="str">
        <f t="shared" si="3"/>
        <v>KARNATAKA</v>
      </c>
      <c r="F434" s="3" t="str">
        <f t="shared" si="4"/>
        <v>BANGALURU</v>
      </c>
      <c r="G434" s="1" t="s">
        <v>1353</v>
      </c>
      <c r="H434" s="3" t="str">
        <f t="shared" si="5"/>
        <v>ACCESSORIES</v>
      </c>
      <c r="I434" s="3" t="str">
        <f t="shared" si="6"/>
        <v>EARRINGS</v>
      </c>
      <c r="J434" s="3">
        <f t="shared" si="7"/>
        <v>3</v>
      </c>
      <c r="K434" s="3">
        <f t="shared" si="8"/>
        <v>312</v>
      </c>
      <c r="L434" s="4">
        <f t="shared" si="9"/>
        <v>0</v>
      </c>
      <c r="M434" s="3">
        <f t="shared" si="10"/>
        <v>936</v>
      </c>
      <c r="N434" s="3">
        <f t="shared" si="11"/>
        <v>655</v>
      </c>
      <c r="O434" s="3">
        <f t="shared" si="12"/>
        <v>281</v>
      </c>
      <c r="P434" s="3" t="str">
        <f t="shared" si="13"/>
        <v>COD</v>
      </c>
      <c r="Q434" s="3" t="str">
        <f t="shared" si="14"/>
        <v>DELIVERED</v>
      </c>
    </row>
    <row r="435">
      <c r="A435" s="1" t="s">
        <v>1354</v>
      </c>
      <c r="B435" s="2">
        <f t="shared" si="1"/>
        <v>46147</v>
      </c>
      <c r="C435" s="1" t="s">
        <v>1355</v>
      </c>
      <c r="D435" s="3" t="str">
        <f t="shared" si="2"/>
        <v>SUJI</v>
      </c>
      <c r="E435" s="3" t="str">
        <f t="shared" si="3"/>
        <v>ANDHRA PRADESH</v>
      </c>
      <c r="F435" s="3" t="str">
        <f t="shared" si="4"/>
        <v>TIRUPATI</v>
      </c>
      <c r="G435" s="1" t="s">
        <v>1356</v>
      </c>
      <c r="H435" s="3" t="str">
        <f t="shared" si="5"/>
        <v>ELECTRONICS</v>
      </c>
      <c r="I435" s="3" t="str">
        <f t="shared" si="6"/>
        <v>WIRELESS EARBUDS</v>
      </c>
      <c r="J435" s="3">
        <f t="shared" si="7"/>
        <v>3</v>
      </c>
      <c r="K435" s="3">
        <f t="shared" si="8"/>
        <v>250</v>
      </c>
      <c r="L435" s="4">
        <f t="shared" si="9"/>
        <v>0.5</v>
      </c>
      <c r="M435" s="3">
        <f t="shared" si="10"/>
        <v>375</v>
      </c>
      <c r="N435" s="3">
        <f t="shared" si="11"/>
        <v>263</v>
      </c>
      <c r="O435" s="3">
        <f t="shared" si="12"/>
        <v>112</v>
      </c>
      <c r="P435" s="3" t="str">
        <f t="shared" si="13"/>
        <v>NET BANKING</v>
      </c>
      <c r="Q435" s="3" t="str">
        <f t="shared" si="14"/>
        <v>SHIPPED</v>
      </c>
    </row>
    <row r="436">
      <c r="A436" s="1" t="s">
        <v>1357</v>
      </c>
      <c r="B436" s="2">
        <f t="shared" si="1"/>
        <v>46283</v>
      </c>
      <c r="C436" s="1" t="s">
        <v>1358</v>
      </c>
      <c r="D436" s="3" t="str">
        <f t="shared" si="2"/>
        <v>RATHA</v>
      </c>
      <c r="E436" s="3" t="str">
        <f t="shared" si="3"/>
        <v>TELUGANA</v>
      </c>
      <c r="F436" s="3" t="str">
        <f t="shared" si="4"/>
        <v>HYDERABAD</v>
      </c>
      <c r="G436" s="1" t="s">
        <v>1359</v>
      </c>
      <c r="H436" s="3" t="str">
        <f t="shared" si="5"/>
        <v>SPORTS</v>
      </c>
      <c r="I436" s="3" t="str">
        <f t="shared" si="6"/>
        <v>FOOTBALL</v>
      </c>
      <c r="J436" s="3">
        <f t="shared" si="7"/>
        <v>5</v>
      </c>
      <c r="K436" s="3">
        <f t="shared" si="8"/>
        <v>503</v>
      </c>
      <c r="L436" s="4">
        <f t="shared" si="9"/>
        <v>0.2</v>
      </c>
      <c r="M436" s="3">
        <f t="shared" si="10"/>
        <v>2012</v>
      </c>
      <c r="N436" s="3">
        <f t="shared" si="11"/>
        <v>1408</v>
      </c>
      <c r="O436" s="3">
        <f t="shared" si="12"/>
        <v>604</v>
      </c>
      <c r="P436" s="3" t="str">
        <f t="shared" si="13"/>
        <v>WALLET</v>
      </c>
      <c r="Q436" s="3" t="str">
        <f t="shared" si="14"/>
        <v>CANCELLED</v>
      </c>
    </row>
    <row r="437">
      <c r="A437" s="1" t="s">
        <v>1360</v>
      </c>
      <c r="B437" s="2">
        <f t="shared" si="1"/>
        <v>46139</v>
      </c>
      <c r="C437" s="1" t="s">
        <v>1361</v>
      </c>
      <c r="D437" s="3" t="str">
        <f t="shared" si="2"/>
        <v>SUSA</v>
      </c>
      <c r="E437" s="3" t="str">
        <f t="shared" si="3"/>
        <v>UTTHRA PRADESH</v>
      </c>
      <c r="F437" s="3" t="str">
        <f t="shared" si="4"/>
        <v>LUCKNOW</v>
      </c>
      <c r="G437" s="1" t="s">
        <v>1362</v>
      </c>
      <c r="H437" s="3" t="str">
        <f t="shared" si="5"/>
        <v>FOOD</v>
      </c>
      <c r="I437" s="3" t="str">
        <f t="shared" si="6"/>
        <v>BIRIYANI</v>
      </c>
      <c r="J437" s="3">
        <f t="shared" si="7"/>
        <v>4</v>
      </c>
      <c r="K437" s="3">
        <f t="shared" si="8"/>
        <v>490</v>
      </c>
      <c r="L437" s="4">
        <f t="shared" si="9"/>
        <v>0.2</v>
      </c>
      <c r="M437" s="3">
        <f t="shared" si="10"/>
        <v>1568</v>
      </c>
      <c r="N437" s="3">
        <f t="shared" si="11"/>
        <v>1098</v>
      </c>
      <c r="O437" s="3">
        <f t="shared" si="12"/>
        <v>470</v>
      </c>
      <c r="P437" s="3" t="str">
        <f t="shared" si="13"/>
        <v>UPI</v>
      </c>
      <c r="Q437" s="3" t="str">
        <f t="shared" si="14"/>
        <v>RETURNED</v>
      </c>
    </row>
    <row r="438">
      <c r="A438" s="1" t="s">
        <v>1363</v>
      </c>
      <c r="B438" s="2">
        <f t="shared" si="1"/>
        <v>46251</v>
      </c>
      <c r="C438" s="1" t="s">
        <v>1364</v>
      </c>
      <c r="D438" s="3" t="str">
        <f t="shared" si="2"/>
        <v>NIVE</v>
      </c>
      <c r="E438" s="3" t="str">
        <f t="shared" si="3"/>
        <v>GUJARAT</v>
      </c>
      <c r="F438" s="3" t="str">
        <f t="shared" si="4"/>
        <v>SURAT</v>
      </c>
      <c r="G438" s="1" t="s">
        <v>1365</v>
      </c>
      <c r="H438" s="3" t="str">
        <f t="shared" si="5"/>
        <v>DRESS</v>
      </c>
      <c r="I438" s="3" t="str">
        <f t="shared" si="6"/>
        <v>WOMEN WAERS</v>
      </c>
      <c r="J438" s="3">
        <f t="shared" si="7"/>
        <v>4</v>
      </c>
      <c r="K438" s="3">
        <f t="shared" si="8"/>
        <v>254</v>
      </c>
      <c r="L438" s="4">
        <f t="shared" si="9"/>
        <v>0.5</v>
      </c>
      <c r="M438" s="3">
        <f t="shared" si="10"/>
        <v>508</v>
      </c>
      <c r="N438" s="3">
        <f t="shared" si="11"/>
        <v>356</v>
      </c>
      <c r="O438" s="3">
        <f t="shared" si="12"/>
        <v>152</v>
      </c>
      <c r="P438" s="3" t="str">
        <f t="shared" si="13"/>
        <v>CARD</v>
      </c>
      <c r="Q438" s="3" t="str">
        <f t="shared" si="14"/>
        <v>DELIVERED</v>
      </c>
    </row>
    <row r="439">
      <c r="A439" s="1" t="s">
        <v>1366</v>
      </c>
      <c r="B439" s="2">
        <f t="shared" si="1"/>
        <v>46240</v>
      </c>
      <c r="C439" s="1" t="s">
        <v>1367</v>
      </c>
      <c r="D439" s="3" t="str">
        <f t="shared" si="2"/>
        <v>VINO</v>
      </c>
      <c r="E439" s="3" t="str">
        <f t="shared" si="3"/>
        <v>RAJASTHAN</v>
      </c>
      <c r="F439" s="3" t="str">
        <f t="shared" si="4"/>
        <v>JAIPUR</v>
      </c>
      <c r="G439" s="1" t="s">
        <v>1368</v>
      </c>
      <c r="H439" s="3" t="str">
        <f t="shared" si="5"/>
        <v>BEAUTY</v>
      </c>
      <c r="I439" s="3" t="str">
        <f t="shared" si="6"/>
        <v>KAJAL</v>
      </c>
      <c r="J439" s="3">
        <f t="shared" si="7"/>
        <v>2</v>
      </c>
      <c r="K439" s="3">
        <f t="shared" si="8"/>
        <v>539</v>
      </c>
      <c r="L439" s="4">
        <f t="shared" si="9"/>
        <v>0.2</v>
      </c>
      <c r="M439" s="3">
        <f t="shared" si="10"/>
        <v>862.4</v>
      </c>
      <c r="N439" s="3">
        <f t="shared" si="11"/>
        <v>604</v>
      </c>
      <c r="O439" s="3">
        <f t="shared" si="12"/>
        <v>258</v>
      </c>
      <c r="P439" s="3" t="str">
        <f t="shared" si="13"/>
        <v>COD</v>
      </c>
      <c r="Q439" s="3" t="str">
        <f t="shared" si="14"/>
        <v>SHIPPED</v>
      </c>
    </row>
    <row r="440">
      <c r="A440" s="1" t="s">
        <v>1369</v>
      </c>
      <c r="B440" s="2">
        <f t="shared" si="1"/>
        <v>46220</v>
      </c>
      <c r="C440" s="1" t="s">
        <v>1370</v>
      </c>
      <c r="D440" s="3" t="str">
        <f t="shared" si="2"/>
        <v>ABI</v>
      </c>
      <c r="E440" s="3" t="str">
        <f t="shared" si="3"/>
        <v>WEST BENGAL</v>
      </c>
      <c r="F440" s="3" t="str">
        <f t="shared" si="4"/>
        <v>KOLKATA</v>
      </c>
      <c r="G440" s="1" t="s">
        <v>1371</v>
      </c>
      <c r="H440" s="3" t="str">
        <f t="shared" si="5"/>
        <v>HOME &amp; KITCHEN</v>
      </c>
      <c r="I440" s="3" t="str">
        <f t="shared" si="6"/>
        <v>MIXER GRAINDER</v>
      </c>
      <c r="J440" s="3">
        <f t="shared" si="7"/>
        <v>4</v>
      </c>
      <c r="K440" s="3">
        <f t="shared" si="8"/>
        <v>140</v>
      </c>
      <c r="L440" s="4">
        <f t="shared" si="9"/>
        <v>0.5</v>
      </c>
      <c r="M440" s="3">
        <f t="shared" si="10"/>
        <v>280</v>
      </c>
      <c r="N440" s="3">
        <f t="shared" si="11"/>
        <v>196</v>
      </c>
      <c r="O440" s="3">
        <f t="shared" si="12"/>
        <v>84</v>
      </c>
      <c r="P440" s="3" t="str">
        <f t="shared" si="13"/>
        <v>NET BANKING</v>
      </c>
      <c r="Q440" s="3" t="str">
        <f t="shared" si="14"/>
        <v>CANCELLED</v>
      </c>
    </row>
    <row r="441">
      <c r="A441" s="1" t="s">
        <v>1372</v>
      </c>
      <c r="B441" s="2">
        <f t="shared" si="1"/>
        <v>46069</v>
      </c>
      <c r="C441" s="1" t="s">
        <v>1373</v>
      </c>
      <c r="D441" s="3" t="str">
        <f t="shared" si="2"/>
        <v>NIHAAR</v>
      </c>
      <c r="E441" s="3" t="str">
        <f t="shared" si="3"/>
        <v>MAGARASTRA</v>
      </c>
      <c r="F441" s="3" t="str">
        <f t="shared" si="4"/>
        <v>PUNE</v>
      </c>
      <c r="G441" s="1" t="s">
        <v>1374</v>
      </c>
      <c r="H441" s="3" t="str">
        <f t="shared" si="5"/>
        <v>BOOKS</v>
      </c>
      <c r="I441" s="3" t="str">
        <f t="shared" si="6"/>
        <v>LIFE OF PI</v>
      </c>
      <c r="J441" s="3">
        <f t="shared" si="7"/>
        <v>2</v>
      </c>
      <c r="K441" s="3">
        <f t="shared" si="8"/>
        <v>221</v>
      </c>
      <c r="L441" s="4">
        <f t="shared" si="9"/>
        <v>0.15</v>
      </c>
      <c r="M441" s="3">
        <f t="shared" si="10"/>
        <v>375.7</v>
      </c>
      <c r="N441" s="3">
        <f t="shared" si="11"/>
        <v>263</v>
      </c>
      <c r="O441" s="3">
        <f t="shared" si="12"/>
        <v>113</v>
      </c>
      <c r="P441" s="3" t="str">
        <f t="shared" si="13"/>
        <v>WALLET</v>
      </c>
      <c r="Q441" s="3" t="str">
        <f t="shared" si="14"/>
        <v>RETURNED</v>
      </c>
    </row>
    <row r="442">
      <c r="A442" s="1" t="s">
        <v>1375</v>
      </c>
      <c r="B442" s="2">
        <f t="shared" si="1"/>
        <v>46137</v>
      </c>
      <c r="C442" s="1" t="s">
        <v>1376</v>
      </c>
      <c r="D442" s="3" t="str">
        <f t="shared" si="2"/>
        <v>SRI</v>
      </c>
      <c r="E442" s="3" t="str">
        <f t="shared" si="3"/>
        <v>TAMILNADU</v>
      </c>
      <c r="F442" s="3" t="str">
        <f t="shared" si="4"/>
        <v>THOOTHUKUDI</v>
      </c>
      <c r="G442" s="1" t="s">
        <v>1377</v>
      </c>
      <c r="H442" s="3" t="str">
        <f t="shared" si="5"/>
        <v>ACCESSORIES</v>
      </c>
      <c r="I442" s="3" t="str">
        <f t="shared" si="6"/>
        <v>EARRINGS</v>
      </c>
      <c r="J442" s="3">
        <f t="shared" si="7"/>
        <v>1</v>
      </c>
      <c r="K442" s="3">
        <f t="shared" si="8"/>
        <v>315</v>
      </c>
      <c r="L442" s="4">
        <f t="shared" si="9"/>
        <v>0.5</v>
      </c>
      <c r="M442" s="3">
        <f t="shared" si="10"/>
        <v>157.5</v>
      </c>
      <c r="N442" s="3">
        <f t="shared" si="11"/>
        <v>110</v>
      </c>
      <c r="O442" s="3">
        <f t="shared" si="12"/>
        <v>48</v>
      </c>
      <c r="P442" s="3" t="str">
        <f t="shared" si="13"/>
        <v>UPI</v>
      </c>
      <c r="Q442" s="3" t="str">
        <f t="shared" si="14"/>
        <v>DELIVERED</v>
      </c>
    </row>
    <row r="443">
      <c r="A443" s="1" t="s">
        <v>1378</v>
      </c>
      <c r="B443" s="2">
        <f t="shared" si="1"/>
        <v>46346</v>
      </c>
      <c r="C443" s="1" t="s">
        <v>1379</v>
      </c>
      <c r="D443" s="3" t="str">
        <f t="shared" si="2"/>
        <v>SHOBN</v>
      </c>
      <c r="E443" s="3" t="str">
        <f t="shared" si="3"/>
        <v>KERALA</v>
      </c>
      <c r="F443" s="3" t="str">
        <f t="shared" si="4"/>
        <v>KOCHI</v>
      </c>
      <c r="G443" s="1" t="s">
        <v>1380</v>
      </c>
      <c r="H443" s="3" t="str">
        <f t="shared" si="5"/>
        <v>ELECTRONICS</v>
      </c>
      <c r="I443" s="3" t="str">
        <f t="shared" si="6"/>
        <v>WIRELESS EARBUDS</v>
      </c>
      <c r="J443" s="3">
        <f t="shared" si="7"/>
        <v>1</v>
      </c>
      <c r="K443" s="3">
        <f t="shared" si="8"/>
        <v>289</v>
      </c>
      <c r="L443" s="4">
        <f t="shared" si="9"/>
        <v>0.2</v>
      </c>
      <c r="M443" s="3">
        <f t="shared" si="10"/>
        <v>231.2</v>
      </c>
      <c r="N443" s="3">
        <f t="shared" si="11"/>
        <v>162</v>
      </c>
      <c r="O443" s="3">
        <f t="shared" si="12"/>
        <v>69</v>
      </c>
      <c r="P443" s="3" t="str">
        <f t="shared" si="13"/>
        <v>CARD</v>
      </c>
      <c r="Q443" s="3" t="str">
        <f t="shared" si="14"/>
        <v>SHIPPED</v>
      </c>
    </row>
    <row r="444">
      <c r="A444" s="1" t="s">
        <v>1381</v>
      </c>
      <c r="B444" s="2">
        <f t="shared" si="1"/>
        <v>46042</v>
      </c>
      <c r="C444" s="1" t="s">
        <v>1382</v>
      </c>
      <c r="D444" s="3" t="str">
        <f t="shared" si="2"/>
        <v>SOBI</v>
      </c>
      <c r="E444" s="3" t="str">
        <f t="shared" si="3"/>
        <v>KARNATAKA</v>
      </c>
      <c r="F444" s="3" t="str">
        <f t="shared" si="4"/>
        <v>BANGALURU</v>
      </c>
      <c r="G444" s="1" t="s">
        <v>1383</v>
      </c>
      <c r="H444" s="3" t="str">
        <f t="shared" si="5"/>
        <v>SPORTS</v>
      </c>
      <c r="I444" s="3" t="str">
        <f t="shared" si="6"/>
        <v>FOOTBALL</v>
      </c>
      <c r="J444" s="3">
        <f t="shared" si="7"/>
        <v>3</v>
      </c>
      <c r="K444" s="3">
        <f t="shared" si="8"/>
        <v>496</v>
      </c>
      <c r="L444" s="4">
        <f t="shared" si="9"/>
        <v>0.15</v>
      </c>
      <c r="M444" s="3">
        <f t="shared" si="10"/>
        <v>1264.8</v>
      </c>
      <c r="N444" s="3">
        <f t="shared" si="11"/>
        <v>885</v>
      </c>
      <c r="O444" s="3">
        <f t="shared" si="12"/>
        <v>380</v>
      </c>
      <c r="P444" s="3" t="str">
        <f t="shared" si="13"/>
        <v>COD</v>
      </c>
      <c r="Q444" s="3" t="str">
        <f t="shared" si="14"/>
        <v>CANCELLED</v>
      </c>
    </row>
    <row r="445">
      <c r="A445" s="1" t="s">
        <v>1384</v>
      </c>
      <c r="B445" s="2">
        <f t="shared" si="1"/>
        <v>46033</v>
      </c>
      <c r="C445" s="1" t="s">
        <v>1385</v>
      </c>
      <c r="D445" s="3" t="str">
        <f t="shared" si="2"/>
        <v>SUJI</v>
      </c>
      <c r="E445" s="3" t="str">
        <f t="shared" si="3"/>
        <v>ANDHRA PRADESH</v>
      </c>
      <c r="F445" s="3" t="str">
        <f t="shared" si="4"/>
        <v>TIRUPATI</v>
      </c>
      <c r="G445" s="1" t="s">
        <v>1386</v>
      </c>
      <c r="H445" s="3" t="str">
        <f t="shared" si="5"/>
        <v>FOOD</v>
      </c>
      <c r="I445" s="3" t="str">
        <f t="shared" si="6"/>
        <v>BIRIYANI</v>
      </c>
      <c r="J445" s="3">
        <f t="shared" si="7"/>
        <v>5</v>
      </c>
      <c r="K445" s="3">
        <f t="shared" si="8"/>
        <v>576</v>
      </c>
      <c r="L445" s="4">
        <f t="shared" si="9"/>
        <v>0.15</v>
      </c>
      <c r="M445" s="3">
        <f t="shared" si="10"/>
        <v>2448</v>
      </c>
      <c r="N445" s="3">
        <f t="shared" si="11"/>
        <v>1714</v>
      </c>
      <c r="O445" s="3">
        <f t="shared" si="12"/>
        <v>734</v>
      </c>
      <c r="P445" s="3" t="str">
        <f t="shared" si="13"/>
        <v>NET BANKING</v>
      </c>
      <c r="Q445" s="3" t="str">
        <f t="shared" si="14"/>
        <v>RETURNED</v>
      </c>
    </row>
    <row r="446">
      <c r="A446" s="1" t="s">
        <v>1387</v>
      </c>
      <c r="B446" s="2">
        <f t="shared" si="1"/>
        <v>46323</v>
      </c>
      <c r="C446" s="1" t="s">
        <v>1388</v>
      </c>
      <c r="D446" s="3" t="str">
        <f t="shared" si="2"/>
        <v>RATHA</v>
      </c>
      <c r="E446" s="3" t="str">
        <f t="shared" si="3"/>
        <v>TELUGANA</v>
      </c>
      <c r="F446" s="3" t="str">
        <f t="shared" si="4"/>
        <v>HYDERABAD</v>
      </c>
      <c r="G446" s="1" t="s">
        <v>1389</v>
      </c>
      <c r="H446" s="3" t="str">
        <f t="shared" si="5"/>
        <v>DRESS</v>
      </c>
      <c r="I446" s="3" t="str">
        <f t="shared" si="6"/>
        <v>WOMEN WAERS</v>
      </c>
      <c r="J446" s="3">
        <f t="shared" si="7"/>
        <v>1</v>
      </c>
      <c r="K446" s="3">
        <f t="shared" si="8"/>
        <v>332</v>
      </c>
      <c r="L446" s="4">
        <f t="shared" si="9"/>
        <v>0</v>
      </c>
      <c r="M446" s="3">
        <f t="shared" si="10"/>
        <v>332</v>
      </c>
      <c r="N446" s="3">
        <f t="shared" si="11"/>
        <v>232</v>
      </c>
      <c r="O446" s="3">
        <f t="shared" si="12"/>
        <v>100</v>
      </c>
      <c r="P446" s="3" t="str">
        <f t="shared" si="13"/>
        <v>WALLET</v>
      </c>
      <c r="Q446" s="3" t="str">
        <f t="shared" si="14"/>
        <v>DELIVERED</v>
      </c>
    </row>
    <row r="447">
      <c r="A447" s="1" t="s">
        <v>1390</v>
      </c>
      <c r="B447" s="2">
        <f t="shared" si="1"/>
        <v>46297</v>
      </c>
      <c r="C447" s="1" t="s">
        <v>1391</v>
      </c>
      <c r="D447" s="3" t="str">
        <f t="shared" si="2"/>
        <v>SUSA</v>
      </c>
      <c r="E447" s="3" t="str">
        <f t="shared" si="3"/>
        <v>UTTHRA PRADESH</v>
      </c>
      <c r="F447" s="3" t="str">
        <f t="shared" si="4"/>
        <v>LUCKNOW</v>
      </c>
      <c r="G447" s="1" t="s">
        <v>1392</v>
      </c>
      <c r="H447" s="3" t="str">
        <f t="shared" si="5"/>
        <v>BEAUTY</v>
      </c>
      <c r="I447" s="3" t="str">
        <f t="shared" si="6"/>
        <v>KAJAL</v>
      </c>
      <c r="J447" s="3">
        <f t="shared" si="7"/>
        <v>1</v>
      </c>
      <c r="K447" s="3">
        <f t="shared" si="8"/>
        <v>526</v>
      </c>
      <c r="L447" s="4">
        <f t="shared" si="9"/>
        <v>0</v>
      </c>
      <c r="M447" s="3">
        <f t="shared" si="10"/>
        <v>526</v>
      </c>
      <c r="N447" s="3">
        <f t="shared" si="11"/>
        <v>368</v>
      </c>
      <c r="O447" s="3">
        <f t="shared" si="12"/>
        <v>158</v>
      </c>
      <c r="P447" s="3" t="str">
        <f t="shared" si="13"/>
        <v>UPI</v>
      </c>
      <c r="Q447" s="3" t="str">
        <f t="shared" si="14"/>
        <v>SHIPPED</v>
      </c>
    </row>
    <row r="448">
      <c r="A448" s="1" t="s">
        <v>1393</v>
      </c>
      <c r="B448" s="2">
        <f t="shared" si="1"/>
        <v>46036</v>
      </c>
      <c r="C448" s="1" t="s">
        <v>1394</v>
      </c>
      <c r="D448" s="3" t="str">
        <f t="shared" si="2"/>
        <v>NIVE</v>
      </c>
      <c r="E448" s="3" t="str">
        <f t="shared" si="3"/>
        <v>GUJARAT</v>
      </c>
      <c r="F448" s="3" t="str">
        <f t="shared" si="4"/>
        <v>SURAT</v>
      </c>
      <c r="G448" s="1" t="s">
        <v>1395</v>
      </c>
      <c r="H448" s="3" t="str">
        <f t="shared" si="5"/>
        <v>HOME &amp; KITCHEN</v>
      </c>
      <c r="I448" s="3" t="str">
        <f t="shared" si="6"/>
        <v>MIXER GRAINDER</v>
      </c>
      <c r="J448" s="3">
        <f t="shared" si="7"/>
        <v>4</v>
      </c>
      <c r="K448" s="3">
        <f t="shared" si="8"/>
        <v>464</v>
      </c>
      <c r="L448" s="4">
        <f t="shared" si="9"/>
        <v>0</v>
      </c>
      <c r="M448" s="3">
        <f t="shared" si="10"/>
        <v>1856</v>
      </c>
      <c r="N448" s="3">
        <f t="shared" si="11"/>
        <v>1299</v>
      </c>
      <c r="O448" s="3">
        <f t="shared" si="12"/>
        <v>557</v>
      </c>
      <c r="P448" s="3" t="str">
        <f t="shared" si="13"/>
        <v>CARD</v>
      </c>
      <c r="Q448" s="3" t="str">
        <f t="shared" si="14"/>
        <v>CANCELLED</v>
      </c>
    </row>
    <row r="449">
      <c r="A449" s="1" t="s">
        <v>1396</v>
      </c>
      <c r="B449" s="2">
        <f t="shared" si="1"/>
        <v>46288</v>
      </c>
      <c r="C449" s="1" t="s">
        <v>1397</v>
      </c>
      <c r="D449" s="3" t="str">
        <f t="shared" si="2"/>
        <v>VINO</v>
      </c>
      <c r="E449" s="3" t="str">
        <f t="shared" si="3"/>
        <v>RAJASTHAN</v>
      </c>
      <c r="F449" s="3" t="str">
        <f t="shared" si="4"/>
        <v>JAIPUR</v>
      </c>
      <c r="G449" s="1" t="s">
        <v>1398</v>
      </c>
      <c r="H449" s="3" t="str">
        <f t="shared" si="5"/>
        <v>BOOKS</v>
      </c>
      <c r="I449" s="3" t="str">
        <f t="shared" si="6"/>
        <v>LIFE OF PI</v>
      </c>
      <c r="J449" s="3">
        <f t="shared" si="7"/>
        <v>1</v>
      </c>
      <c r="K449" s="3">
        <f t="shared" si="8"/>
        <v>423</v>
      </c>
      <c r="L449" s="4">
        <f t="shared" si="9"/>
        <v>0.17</v>
      </c>
      <c r="M449" s="3">
        <f t="shared" si="10"/>
        <v>351.09</v>
      </c>
      <c r="N449" s="3">
        <f t="shared" si="11"/>
        <v>246</v>
      </c>
      <c r="O449" s="3">
        <f t="shared" si="12"/>
        <v>105</v>
      </c>
      <c r="P449" s="3" t="str">
        <f t="shared" si="13"/>
        <v>COD</v>
      </c>
      <c r="Q449" s="3" t="str">
        <f t="shared" si="14"/>
        <v>RETURNED</v>
      </c>
    </row>
    <row r="450">
      <c r="A450" s="1" t="s">
        <v>1399</v>
      </c>
      <c r="B450" s="2">
        <f t="shared" si="1"/>
        <v>46246</v>
      </c>
      <c r="C450" s="1" t="s">
        <v>1400</v>
      </c>
      <c r="D450" s="3" t="str">
        <f t="shared" si="2"/>
        <v>ABI</v>
      </c>
      <c r="E450" s="3" t="str">
        <f t="shared" si="3"/>
        <v>WEST BENGAL</v>
      </c>
      <c r="F450" s="3" t="str">
        <f t="shared" si="4"/>
        <v>KOLKATA</v>
      </c>
      <c r="G450" s="1" t="s">
        <v>1401</v>
      </c>
      <c r="H450" s="3" t="str">
        <f t="shared" si="5"/>
        <v>ACCESSORIES</v>
      </c>
      <c r="I450" s="3" t="str">
        <f t="shared" si="6"/>
        <v>EARRINGS</v>
      </c>
      <c r="J450" s="3">
        <f t="shared" si="7"/>
        <v>2</v>
      </c>
      <c r="K450" s="3">
        <f t="shared" si="8"/>
        <v>583</v>
      </c>
      <c r="L450" s="4">
        <f t="shared" si="9"/>
        <v>0</v>
      </c>
      <c r="M450" s="3">
        <f t="shared" si="10"/>
        <v>1166</v>
      </c>
      <c r="N450" s="3">
        <f t="shared" si="11"/>
        <v>816</v>
      </c>
      <c r="O450" s="3">
        <f t="shared" si="12"/>
        <v>350</v>
      </c>
      <c r="P450" s="3" t="str">
        <f t="shared" si="13"/>
        <v>NET BANKING</v>
      </c>
      <c r="Q450" s="3" t="str">
        <f t="shared" si="14"/>
        <v>DELIVERED</v>
      </c>
    </row>
    <row r="451">
      <c r="A451" s="1" t="s">
        <v>1402</v>
      </c>
      <c r="B451" s="2">
        <f t="shared" si="1"/>
        <v>46164</v>
      </c>
      <c r="C451" s="1" t="s">
        <v>1403</v>
      </c>
      <c r="D451" s="3" t="str">
        <f t="shared" si="2"/>
        <v>NIHAAR</v>
      </c>
      <c r="E451" s="3" t="str">
        <f t="shared" si="3"/>
        <v>MAGARASTRA</v>
      </c>
      <c r="F451" s="3" t="str">
        <f t="shared" si="4"/>
        <v>PUNE</v>
      </c>
      <c r="G451" s="1" t="s">
        <v>1404</v>
      </c>
      <c r="H451" s="3" t="str">
        <f t="shared" si="5"/>
        <v>ELECTRONICS</v>
      </c>
      <c r="I451" s="3" t="str">
        <f t="shared" si="6"/>
        <v>WIRELESS EARBUDS</v>
      </c>
      <c r="J451" s="3">
        <f t="shared" si="7"/>
        <v>1</v>
      </c>
      <c r="K451" s="3">
        <f t="shared" si="8"/>
        <v>100</v>
      </c>
      <c r="L451" s="4">
        <f t="shared" si="9"/>
        <v>0.17</v>
      </c>
      <c r="M451" s="3">
        <f t="shared" si="10"/>
        <v>83</v>
      </c>
      <c r="N451" s="3">
        <f t="shared" si="11"/>
        <v>58</v>
      </c>
      <c r="O451" s="3">
        <f t="shared" si="12"/>
        <v>25</v>
      </c>
      <c r="P451" s="3" t="str">
        <f t="shared" si="13"/>
        <v>WALLET</v>
      </c>
      <c r="Q451" s="3" t="str">
        <f t="shared" si="14"/>
        <v>SHIPPED</v>
      </c>
    </row>
    <row r="452">
      <c r="A452" s="1" t="s">
        <v>1405</v>
      </c>
      <c r="B452" s="2">
        <f t="shared" si="1"/>
        <v>46232</v>
      </c>
      <c r="C452" s="1" t="s">
        <v>1406</v>
      </c>
      <c r="D452" s="3" t="str">
        <f t="shared" si="2"/>
        <v>SRI</v>
      </c>
      <c r="E452" s="3" t="str">
        <f t="shared" si="3"/>
        <v>TAMILNADU</v>
      </c>
      <c r="F452" s="3" t="str">
        <f t="shared" si="4"/>
        <v>THOOTHUKUDI</v>
      </c>
      <c r="G452" s="1" t="s">
        <v>1407</v>
      </c>
      <c r="H452" s="3" t="str">
        <f t="shared" si="5"/>
        <v>SPORTS</v>
      </c>
      <c r="I452" s="3" t="str">
        <f t="shared" si="6"/>
        <v>FOOTBALL</v>
      </c>
      <c r="J452" s="3">
        <f t="shared" si="7"/>
        <v>4</v>
      </c>
      <c r="K452" s="3">
        <f t="shared" si="8"/>
        <v>398</v>
      </c>
      <c r="L452" s="4">
        <f t="shared" si="9"/>
        <v>0.5</v>
      </c>
      <c r="M452" s="3">
        <f t="shared" si="10"/>
        <v>796</v>
      </c>
      <c r="N452" s="3">
        <f t="shared" si="11"/>
        <v>557</v>
      </c>
      <c r="O452" s="3">
        <f t="shared" si="12"/>
        <v>239</v>
      </c>
      <c r="P452" s="3" t="str">
        <f t="shared" si="13"/>
        <v>UPI</v>
      </c>
      <c r="Q452" s="3" t="str">
        <f t="shared" si="14"/>
        <v>CANCELLED</v>
      </c>
    </row>
    <row r="453">
      <c r="A453" s="1" t="s">
        <v>1408</v>
      </c>
      <c r="B453" s="2">
        <f t="shared" si="1"/>
        <v>46319</v>
      </c>
      <c r="C453" s="1" t="s">
        <v>1409</v>
      </c>
      <c r="D453" s="3" t="str">
        <f t="shared" si="2"/>
        <v>SHOBN</v>
      </c>
      <c r="E453" s="3" t="str">
        <f t="shared" si="3"/>
        <v>KERALA</v>
      </c>
      <c r="F453" s="3" t="str">
        <f t="shared" si="4"/>
        <v>KOCHI</v>
      </c>
      <c r="G453" s="1" t="s">
        <v>1410</v>
      </c>
      <c r="H453" s="3" t="str">
        <f t="shared" si="5"/>
        <v>FOOD</v>
      </c>
      <c r="I453" s="3" t="str">
        <f t="shared" si="6"/>
        <v>BIRIYANI</v>
      </c>
      <c r="J453" s="3">
        <f t="shared" si="7"/>
        <v>5</v>
      </c>
      <c r="K453" s="3">
        <f t="shared" si="8"/>
        <v>591</v>
      </c>
      <c r="L453" s="4">
        <f t="shared" si="9"/>
        <v>0.5</v>
      </c>
      <c r="M453" s="3">
        <f t="shared" si="10"/>
        <v>1477.5</v>
      </c>
      <c r="N453" s="3">
        <f t="shared" si="11"/>
        <v>1034</v>
      </c>
      <c r="O453" s="3">
        <f t="shared" si="12"/>
        <v>444</v>
      </c>
      <c r="P453" s="3" t="str">
        <f t="shared" si="13"/>
        <v>CARD</v>
      </c>
      <c r="Q453" s="3" t="str">
        <f t="shared" si="14"/>
        <v>RETURNED</v>
      </c>
    </row>
    <row r="454">
      <c r="A454" s="1" t="s">
        <v>1411</v>
      </c>
      <c r="B454" s="2">
        <f t="shared" si="1"/>
        <v>46261</v>
      </c>
      <c r="C454" s="1" t="s">
        <v>1412</v>
      </c>
      <c r="D454" s="3" t="str">
        <f t="shared" si="2"/>
        <v>SOBI</v>
      </c>
      <c r="E454" s="3" t="str">
        <f t="shared" si="3"/>
        <v>KARNATAKA</v>
      </c>
      <c r="F454" s="3" t="str">
        <f t="shared" si="4"/>
        <v>BANGALURU</v>
      </c>
      <c r="G454" s="1" t="s">
        <v>1413</v>
      </c>
      <c r="H454" s="3" t="str">
        <f t="shared" si="5"/>
        <v>DRESS</v>
      </c>
      <c r="I454" s="3" t="str">
        <f t="shared" si="6"/>
        <v>WOMEN WAERS</v>
      </c>
      <c r="J454" s="3">
        <f t="shared" si="7"/>
        <v>3</v>
      </c>
      <c r="K454" s="3">
        <f t="shared" si="8"/>
        <v>372</v>
      </c>
      <c r="L454" s="4">
        <f t="shared" si="9"/>
        <v>0.5</v>
      </c>
      <c r="M454" s="3">
        <f t="shared" si="10"/>
        <v>558</v>
      </c>
      <c r="N454" s="3">
        <f t="shared" si="11"/>
        <v>391</v>
      </c>
      <c r="O454" s="3">
        <f t="shared" si="12"/>
        <v>167</v>
      </c>
      <c r="P454" s="3" t="str">
        <f t="shared" si="13"/>
        <v>COD</v>
      </c>
      <c r="Q454" s="3" t="str">
        <f t="shared" si="14"/>
        <v>DELIVERED</v>
      </c>
    </row>
    <row r="455">
      <c r="A455" s="1" t="s">
        <v>1414</v>
      </c>
      <c r="B455" s="2">
        <f t="shared" si="1"/>
        <v>46076</v>
      </c>
      <c r="C455" s="1" t="s">
        <v>1415</v>
      </c>
      <c r="D455" s="3" t="str">
        <f t="shared" si="2"/>
        <v>SUJI</v>
      </c>
      <c r="E455" s="3" t="str">
        <f t="shared" si="3"/>
        <v>ANDHRA PRADESH</v>
      </c>
      <c r="F455" s="3" t="str">
        <f t="shared" si="4"/>
        <v>TIRUPATI</v>
      </c>
      <c r="G455" s="1" t="s">
        <v>1416</v>
      </c>
      <c r="H455" s="3" t="str">
        <f t="shared" si="5"/>
        <v>BEAUTY</v>
      </c>
      <c r="I455" s="3" t="str">
        <f t="shared" si="6"/>
        <v>KAJAL</v>
      </c>
      <c r="J455" s="3">
        <f t="shared" si="7"/>
        <v>2</v>
      </c>
      <c r="K455" s="3">
        <f t="shared" si="8"/>
        <v>297</v>
      </c>
      <c r="L455" s="4">
        <f t="shared" si="9"/>
        <v>0</v>
      </c>
      <c r="M455" s="3">
        <f t="shared" si="10"/>
        <v>594</v>
      </c>
      <c r="N455" s="3">
        <f t="shared" si="11"/>
        <v>416</v>
      </c>
      <c r="O455" s="3">
        <f t="shared" si="12"/>
        <v>178</v>
      </c>
      <c r="P455" s="3" t="str">
        <f t="shared" si="13"/>
        <v>NET BANKING</v>
      </c>
      <c r="Q455" s="3" t="str">
        <f t="shared" si="14"/>
        <v>SHIPPED</v>
      </c>
    </row>
    <row r="456">
      <c r="A456" s="1" t="s">
        <v>1417</v>
      </c>
      <c r="B456" s="2">
        <f t="shared" si="1"/>
        <v>46224</v>
      </c>
      <c r="C456" s="1" t="s">
        <v>1418</v>
      </c>
      <c r="D456" s="3" t="str">
        <f t="shared" si="2"/>
        <v>RATHA</v>
      </c>
      <c r="E456" s="3" t="str">
        <f t="shared" si="3"/>
        <v>TELUGANA</v>
      </c>
      <c r="F456" s="3" t="str">
        <f t="shared" si="4"/>
        <v>HYDERABAD</v>
      </c>
      <c r="G456" s="1" t="s">
        <v>1419</v>
      </c>
      <c r="H456" s="3" t="str">
        <f t="shared" si="5"/>
        <v>HOME &amp; KITCHEN</v>
      </c>
      <c r="I456" s="3" t="str">
        <f t="shared" si="6"/>
        <v>MIXER GRAINDER</v>
      </c>
      <c r="J456" s="3">
        <f t="shared" si="7"/>
        <v>2</v>
      </c>
      <c r="K456" s="3">
        <f t="shared" si="8"/>
        <v>527</v>
      </c>
      <c r="L456" s="4">
        <f t="shared" si="9"/>
        <v>0.1</v>
      </c>
      <c r="M456" s="3">
        <f t="shared" si="10"/>
        <v>948.6</v>
      </c>
      <c r="N456" s="3">
        <f t="shared" si="11"/>
        <v>664</v>
      </c>
      <c r="O456" s="3">
        <f t="shared" si="12"/>
        <v>285</v>
      </c>
      <c r="P456" s="3" t="str">
        <f t="shared" si="13"/>
        <v>WALLET</v>
      </c>
      <c r="Q456" s="3" t="str">
        <f t="shared" si="14"/>
        <v>CANCELLED</v>
      </c>
    </row>
    <row r="457">
      <c r="A457" s="1" t="s">
        <v>1420</v>
      </c>
      <c r="B457" s="2">
        <f t="shared" si="1"/>
        <v>46345</v>
      </c>
      <c r="C457" s="1" t="s">
        <v>1421</v>
      </c>
      <c r="D457" s="3" t="str">
        <f t="shared" si="2"/>
        <v>SUSA</v>
      </c>
      <c r="E457" s="3" t="str">
        <f t="shared" si="3"/>
        <v>UTTHRA PRADESH</v>
      </c>
      <c r="F457" s="3" t="str">
        <f t="shared" si="4"/>
        <v>LUCKNOW</v>
      </c>
      <c r="G457" s="1" t="s">
        <v>1422</v>
      </c>
      <c r="H457" s="3" t="str">
        <f t="shared" si="5"/>
        <v>BOOKS</v>
      </c>
      <c r="I457" s="3" t="str">
        <f t="shared" si="6"/>
        <v>LIFE OF PI</v>
      </c>
      <c r="J457" s="3">
        <f t="shared" si="7"/>
        <v>5</v>
      </c>
      <c r="K457" s="3">
        <f t="shared" si="8"/>
        <v>332</v>
      </c>
      <c r="L457" s="4">
        <f t="shared" si="9"/>
        <v>0.5</v>
      </c>
      <c r="M457" s="3">
        <f t="shared" si="10"/>
        <v>830</v>
      </c>
      <c r="N457" s="3">
        <f t="shared" si="11"/>
        <v>581</v>
      </c>
      <c r="O457" s="3">
        <f t="shared" si="12"/>
        <v>249</v>
      </c>
      <c r="P457" s="3" t="str">
        <f t="shared" si="13"/>
        <v>UPI</v>
      </c>
      <c r="Q457" s="3" t="str">
        <f t="shared" si="14"/>
        <v>RETURNED</v>
      </c>
    </row>
    <row r="458">
      <c r="A458" s="1" t="s">
        <v>1423</v>
      </c>
      <c r="B458" s="2">
        <f t="shared" si="1"/>
        <v>46320</v>
      </c>
      <c r="C458" s="1" t="s">
        <v>1424</v>
      </c>
      <c r="D458" s="3" t="str">
        <f t="shared" si="2"/>
        <v>NIVE</v>
      </c>
      <c r="E458" s="3" t="str">
        <f t="shared" si="3"/>
        <v>GUJARAT</v>
      </c>
      <c r="F458" s="3" t="str">
        <f t="shared" si="4"/>
        <v>SURAT</v>
      </c>
      <c r="G458" s="1" t="s">
        <v>1425</v>
      </c>
      <c r="H458" s="3" t="str">
        <f t="shared" si="5"/>
        <v>ACCESSORIES</v>
      </c>
      <c r="I458" s="3" t="str">
        <f t="shared" si="6"/>
        <v>EARRINGS</v>
      </c>
      <c r="J458" s="3">
        <f t="shared" si="7"/>
        <v>2</v>
      </c>
      <c r="K458" s="3">
        <f t="shared" si="8"/>
        <v>324</v>
      </c>
      <c r="L458" s="4">
        <f t="shared" si="9"/>
        <v>0.15</v>
      </c>
      <c r="M458" s="3">
        <f t="shared" si="10"/>
        <v>550.8</v>
      </c>
      <c r="N458" s="3">
        <f t="shared" si="11"/>
        <v>386</v>
      </c>
      <c r="O458" s="3">
        <f t="shared" si="12"/>
        <v>165</v>
      </c>
      <c r="P458" s="3" t="str">
        <f t="shared" si="13"/>
        <v>CARD</v>
      </c>
      <c r="Q458" s="3" t="str">
        <f t="shared" si="14"/>
        <v>DELIVERED</v>
      </c>
    </row>
    <row r="459">
      <c r="A459" s="1" t="s">
        <v>1426</v>
      </c>
      <c r="B459" s="2">
        <f t="shared" si="1"/>
        <v>46051</v>
      </c>
      <c r="C459" s="1" t="s">
        <v>1427</v>
      </c>
      <c r="D459" s="3" t="str">
        <f t="shared" si="2"/>
        <v>VINO</v>
      </c>
      <c r="E459" s="3" t="str">
        <f t="shared" si="3"/>
        <v>RAJASTHAN</v>
      </c>
      <c r="F459" s="3" t="str">
        <f t="shared" si="4"/>
        <v>JAIPUR</v>
      </c>
      <c r="G459" s="1" t="s">
        <v>1428</v>
      </c>
      <c r="H459" s="3" t="str">
        <f t="shared" si="5"/>
        <v>ELECTRONICS</v>
      </c>
      <c r="I459" s="3" t="str">
        <f t="shared" si="6"/>
        <v>WIRELESS EARBUDS</v>
      </c>
      <c r="J459" s="3">
        <f t="shared" si="7"/>
        <v>2</v>
      </c>
      <c r="K459" s="3">
        <f t="shared" si="8"/>
        <v>260</v>
      </c>
      <c r="L459" s="4">
        <f t="shared" si="9"/>
        <v>0</v>
      </c>
      <c r="M459" s="3">
        <f t="shared" si="10"/>
        <v>520</v>
      </c>
      <c r="N459" s="3">
        <f t="shared" si="11"/>
        <v>364</v>
      </c>
      <c r="O459" s="3">
        <f t="shared" si="12"/>
        <v>156</v>
      </c>
      <c r="P459" s="3" t="str">
        <f t="shared" si="13"/>
        <v>COD</v>
      </c>
      <c r="Q459" s="3" t="str">
        <f t="shared" si="14"/>
        <v>SHIPPED</v>
      </c>
    </row>
    <row r="460">
      <c r="A460" s="1" t="s">
        <v>1429</v>
      </c>
      <c r="B460" s="2">
        <f t="shared" si="1"/>
        <v>46044</v>
      </c>
      <c r="C460" s="1" t="s">
        <v>1430</v>
      </c>
      <c r="D460" s="3" t="str">
        <f t="shared" si="2"/>
        <v>ABI</v>
      </c>
      <c r="E460" s="3" t="str">
        <f t="shared" si="3"/>
        <v>WEST BENGAL</v>
      </c>
      <c r="F460" s="3" t="str">
        <f t="shared" si="4"/>
        <v>KOLKATA</v>
      </c>
      <c r="G460" s="1" t="s">
        <v>1431</v>
      </c>
      <c r="H460" s="3" t="str">
        <f t="shared" si="5"/>
        <v>SPORTS</v>
      </c>
      <c r="I460" s="3" t="str">
        <f t="shared" si="6"/>
        <v>FOOTBALL</v>
      </c>
      <c r="J460" s="3">
        <f t="shared" si="7"/>
        <v>2</v>
      </c>
      <c r="K460" s="3">
        <f t="shared" si="8"/>
        <v>331</v>
      </c>
      <c r="L460" s="4">
        <f t="shared" si="9"/>
        <v>0.17</v>
      </c>
      <c r="M460" s="3">
        <f t="shared" si="10"/>
        <v>549.46</v>
      </c>
      <c r="N460" s="3">
        <f t="shared" si="11"/>
        <v>385</v>
      </c>
      <c r="O460" s="3">
        <f t="shared" si="12"/>
        <v>164</v>
      </c>
      <c r="P460" s="3" t="str">
        <f t="shared" si="13"/>
        <v>NET BANKING</v>
      </c>
      <c r="Q460" s="3" t="str">
        <f t="shared" si="14"/>
        <v>CANCELLED</v>
      </c>
    </row>
    <row r="461">
      <c r="A461" s="1" t="s">
        <v>1432</v>
      </c>
      <c r="B461" s="2">
        <f t="shared" si="1"/>
        <v>46034</v>
      </c>
      <c r="C461" s="1" t="s">
        <v>1433</v>
      </c>
      <c r="D461" s="3" t="str">
        <f t="shared" si="2"/>
        <v>NIHAAR</v>
      </c>
      <c r="E461" s="3" t="str">
        <f t="shared" si="3"/>
        <v>MAGARASTRA</v>
      </c>
      <c r="F461" s="3" t="str">
        <f t="shared" si="4"/>
        <v>PUNE</v>
      </c>
      <c r="G461" s="1" t="s">
        <v>1434</v>
      </c>
      <c r="H461" s="3" t="str">
        <f t="shared" si="5"/>
        <v>FOOD</v>
      </c>
      <c r="I461" s="3" t="str">
        <f t="shared" si="6"/>
        <v>BIRIYANI</v>
      </c>
      <c r="J461" s="3">
        <f t="shared" si="7"/>
        <v>3</v>
      </c>
      <c r="K461" s="3">
        <f t="shared" si="8"/>
        <v>451</v>
      </c>
      <c r="L461" s="4">
        <f t="shared" si="9"/>
        <v>0.17</v>
      </c>
      <c r="M461" s="3">
        <f t="shared" si="10"/>
        <v>1122.99</v>
      </c>
      <c r="N461" s="3">
        <f t="shared" si="11"/>
        <v>786</v>
      </c>
      <c r="O461" s="3">
        <f t="shared" si="12"/>
        <v>337</v>
      </c>
      <c r="P461" s="3" t="str">
        <f t="shared" si="13"/>
        <v>WALLET</v>
      </c>
      <c r="Q461" s="3" t="str">
        <f t="shared" si="14"/>
        <v>RETURNED</v>
      </c>
    </row>
    <row r="462">
      <c r="A462" s="1" t="s">
        <v>1435</v>
      </c>
      <c r="B462" s="2">
        <f t="shared" si="1"/>
        <v>46165</v>
      </c>
      <c r="C462" s="1" t="s">
        <v>1436</v>
      </c>
      <c r="D462" s="3" t="str">
        <f t="shared" si="2"/>
        <v>SRI</v>
      </c>
      <c r="E462" s="3" t="str">
        <f t="shared" si="3"/>
        <v>TAMILNADU</v>
      </c>
      <c r="F462" s="3" t="str">
        <f t="shared" si="4"/>
        <v>THOOTHUKUDI</v>
      </c>
      <c r="G462" s="1" t="s">
        <v>1437</v>
      </c>
      <c r="H462" s="3" t="str">
        <f t="shared" si="5"/>
        <v>DRESS</v>
      </c>
      <c r="I462" s="3" t="str">
        <f t="shared" si="6"/>
        <v>WOMEN WAERS</v>
      </c>
      <c r="J462" s="3">
        <f t="shared" si="7"/>
        <v>3</v>
      </c>
      <c r="K462" s="3">
        <f t="shared" si="8"/>
        <v>200</v>
      </c>
      <c r="L462" s="4">
        <f t="shared" si="9"/>
        <v>0.2</v>
      </c>
      <c r="M462" s="3">
        <f t="shared" si="10"/>
        <v>480</v>
      </c>
      <c r="N462" s="3">
        <f t="shared" si="11"/>
        <v>336</v>
      </c>
      <c r="O462" s="3">
        <f t="shared" si="12"/>
        <v>144</v>
      </c>
      <c r="P462" s="3" t="str">
        <f t="shared" si="13"/>
        <v>UPI</v>
      </c>
      <c r="Q462" s="3" t="str">
        <f t="shared" si="14"/>
        <v>DELIVERED</v>
      </c>
    </row>
    <row r="463">
      <c r="A463" s="1" t="s">
        <v>1438</v>
      </c>
      <c r="B463" s="2">
        <f t="shared" si="1"/>
        <v>46058</v>
      </c>
      <c r="C463" s="1" t="s">
        <v>1439</v>
      </c>
      <c r="D463" s="3" t="str">
        <f t="shared" si="2"/>
        <v>SHOBN</v>
      </c>
      <c r="E463" s="3" t="str">
        <f t="shared" si="3"/>
        <v>KERALA</v>
      </c>
      <c r="F463" s="3" t="str">
        <f t="shared" si="4"/>
        <v>KOCHI</v>
      </c>
      <c r="G463" s="1" t="s">
        <v>1440</v>
      </c>
      <c r="H463" s="3" t="str">
        <f t="shared" si="5"/>
        <v>BEAUTY</v>
      </c>
      <c r="I463" s="3" t="str">
        <f t="shared" si="6"/>
        <v>KAJAL</v>
      </c>
      <c r="J463" s="3">
        <f t="shared" si="7"/>
        <v>5</v>
      </c>
      <c r="K463" s="3">
        <f t="shared" si="8"/>
        <v>237</v>
      </c>
      <c r="L463" s="4">
        <f t="shared" si="9"/>
        <v>0.17</v>
      </c>
      <c r="M463" s="3">
        <f t="shared" si="10"/>
        <v>983.55</v>
      </c>
      <c r="N463" s="3">
        <f t="shared" si="11"/>
        <v>688</v>
      </c>
      <c r="O463" s="3">
        <f t="shared" si="12"/>
        <v>296</v>
      </c>
      <c r="P463" s="3" t="str">
        <f t="shared" si="13"/>
        <v>CARD</v>
      </c>
      <c r="Q463" s="3" t="str">
        <f t="shared" si="14"/>
        <v>SHIPPED</v>
      </c>
    </row>
    <row r="464">
      <c r="A464" s="1" t="s">
        <v>1441</v>
      </c>
      <c r="B464" s="2">
        <f t="shared" si="1"/>
        <v>46355</v>
      </c>
      <c r="C464" s="1" t="s">
        <v>1442</v>
      </c>
      <c r="D464" s="3" t="str">
        <f t="shared" si="2"/>
        <v>SOBI</v>
      </c>
      <c r="E464" s="3" t="str">
        <f t="shared" si="3"/>
        <v>KARNATAKA</v>
      </c>
      <c r="F464" s="3" t="str">
        <f t="shared" si="4"/>
        <v>BANGALURU</v>
      </c>
      <c r="G464" s="1" t="s">
        <v>1443</v>
      </c>
      <c r="H464" s="3" t="str">
        <f t="shared" si="5"/>
        <v>HOME &amp; KITCHEN</v>
      </c>
      <c r="I464" s="3" t="str">
        <f t="shared" si="6"/>
        <v>MIXER GRAINDER</v>
      </c>
      <c r="J464" s="3">
        <f t="shared" si="7"/>
        <v>2</v>
      </c>
      <c r="K464" s="3">
        <f t="shared" si="8"/>
        <v>456</v>
      </c>
      <c r="L464" s="4">
        <f t="shared" si="9"/>
        <v>0.15</v>
      </c>
      <c r="M464" s="3">
        <f t="shared" si="10"/>
        <v>775.2</v>
      </c>
      <c r="N464" s="3">
        <f t="shared" si="11"/>
        <v>543</v>
      </c>
      <c r="O464" s="3">
        <f t="shared" si="12"/>
        <v>232</v>
      </c>
      <c r="P464" s="3" t="str">
        <f t="shared" si="13"/>
        <v>COD</v>
      </c>
      <c r="Q464" s="3" t="str">
        <f t="shared" si="14"/>
        <v>CANCELLED</v>
      </c>
    </row>
    <row r="465">
      <c r="A465" s="1" t="s">
        <v>1444</v>
      </c>
      <c r="B465" s="2">
        <f t="shared" si="1"/>
        <v>46060</v>
      </c>
      <c r="C465" s="1" t="s">
        <v>1445</v>
      </c>
      <c r="D465" s="3" t="str">
        <f t="shared" si="2"/>
        <v>SUJI</v>
      </c>
      <c r="E465" s="3" t="str">
        <f t="shared" si="3"/>
        <v>ANDHRA PRADESH</v>
      </c>
      <c r="F465" s="3" t="str">
        <f t="shared" si="4"/>
        <v>TIRUPATI</v>
      </c>
      <c r="G465" s="1" t="s">
        <v>1446</v>
      </c>
      <c r="H465" s="3" t="str">
        <f t="shared" si="5"/>
        <v>BOOKS</v>
      </c>
      <c r="I465" s="3" t="str">
        <f t="shared" si="6"/>
        <v>LIFE OF PI</v>
      </c>
      <c r="J465" s="3">
        <f t="shared" si="7"/>
        <v>2</v>
      </c>
      <c r="K465" s="3">
        <f t="shared" si="8"/>
        <v>566</v>
      </c>
      <c r="L465" s="4">
        <f t="shared" si="9"/>
        <v>0.17</v>
      </c>
      <c r="M465" s="3">
        <f t="shared" si="10"/>
        <v>939.56</v>
      </c>
      <c r="N465" s="3">
        <f t="shared" si="11"/>
        <v>658</v>
      </c>
      <c r="O465" s="3">
        <f t="shared" si="12"/>
        <v>282</v>
      </c>
      <c r="P465" s="3" t="str">
        <f t="shared" si="13"/>
        <v>NET BANKING</v>
      </c>
      <c r="Q465" s="3" t="str">
        <f t="shared" si="14"/>
        <v>RETURNED</v>
      </c>
    </row>
    <row r="466">
      <c r="A466" s="1" t="s">
        <v>1447</v>
      </c>
      <c r="B466" s="2">
        <f t="shared" si="1"/>
        <v>46186</v>
      </c>
      <c r="C466" s="1" t="s">
        <v>1448</v>
      </c>
      <c r="D466" s="3" t="str">
        <f t="shared" si="2"/>
        <v>RATHA</v>
      </c>
      <c r="E466" s="3" t="str">
        <f t="shared" si="3"/>
        <v>TELUGANA</v>
      </c>
      <c r="F466" s="3" t="str">
        <f t="shared" si="4"/>
        <v>HYDERABAD</v>
      </c>
      <c r="G466" s="1" t="s">
        <v>1449</v>
      </c>
      <c r="H466" s="3" t="str">
        <f t="shared" si="5"/>
        <v>ACCESSORIES</v>
      </c>
      <c r="I466" s="3" t="str">
        <f t="shared" si="6"/>
        <v>EARRINGS</v>
      </c>
      <c r="J466" s="3">
        <f t="shared" si="7"/>
        <v>2</v>
      </c>
      <c r="K466" s="3">
        <f t="shared" si="8"/>
        <v>449</v>
      </c>
      <c r="L466" s="4">
        <f t="shared" si="9"/>
        <v>0.5</v>
      </c>
      <c r="M466" s="3">
        <f t="shared" si="10"/>
        <v>449</v>
      </c>
      <c r="N466" s="3">
        <f t="shared" si="11"/>
        <v>314</v>
      </c>
      <c r="O466" s="3">
        <f t="shared" si="12"/>
        <v>135</v>
      </c>
      <c r="P466" s="3" t="str">
        <f t="shared" si="13"/>
        <v>WALLET</v>
      </c>
      <c r="Q466" s="3" t="str">
        <f t="shared" si="14"/>
        <v>DELIVERED</v>
      </c>
    </row>
    <row r="467">
      <c r="A467" s="1" t="s">
        <v>1450</v>
      </c>
      <c r="B467" s="2">
        <f t="shared" si="1"/>
        <v>46137</v>
      </c>
      <c r="C467" s="1" t="s">
        <v>1451</v>
      </c>
      <c r="D467" s="3" t="str">
        <f t="shared" si="2"/>
        <v>SUSA</v>
      </c>
      <c r="E467" s="3" t="str">
        <f t="shared" si="3"/>
        <v>UTTHRA PRADESH</v>
      </c>
      <c r="F467" s="3" t="str">
        <f t="shared" si="4"/>
        <v>LUCKNOW</v>
      </c>
      <c r="G467" s="1" t="s">
        <v>1452</v>
      </c>
      <c r="H467" s="3" t="str">
        <f t="shared" si="5"/>
        <v>ELECTRONICS</v>
      </c>
      <c r="I467" s="3" t="str">
        <f t="shared" si="6"/>
        <v>WIRELESS EARBUDS</v>
      </c>
      <c r="J467" s="3">
        <f t="shared" si="7"/>
        <v>5</v>
      </c>
      <c r="K467" s="3">
        <f t="shared" si="8"/>
        <v>127</v>
      </c>
      <c r="L467" s="4">
        <f t="shared" si="9"/>
        <v>0.5</v>
      </c>
      <c r="M467" s="3">
        <f t="shared" si="10"/>
        <v>317.5</v>
      </c>
      <c r="N467" s="3">
        <f t="shared" si="11"/>
        <v>222</v>
      </c>
      <c r="O467" s="3">
        <f t="shared" si="12"/>
        <v>96</v>
      </c>
      <c r="P467" s="3" t="str">
        <f t="shared" si="13"/>
        <v>UPI</v>
      </c>
      <c r="Q467" s="3" t="str">
        <f t="shared" si="14"/>
        <v>SHIPPED</v>
      </c>
    </row>
    <row r="468">
      <c r="A468" s="1" t="s">
        <v>1453</v>
      </c>
      <c r="B468" s="2">
        <f t="shared" si="1"/>
        <v>46232</v>
      </c>
      <c r="C468" s="1" t="s">
        <v>1454</v>
      </c>
      <c r="D468" s="3" t="str">
        <f t="shared" si="2"/>
        <v>NIVE</v>
      </c>
      <c r="E468" s="3" t="str">
        <f t="shared" si="3"/>
        <v>GUJARAT</v>
      </c>
      <c r="F468" s="3" t="str">
        <f t="shared" si="4"/>
        <v>SURAT</v>
      </c>
      <c r="G468" s="1" t="s">
        <v>1455</v>
      </c>
      <c r="H468" s="3" t="str">
        <f t="shared" si="5"/>
        <v>SPORTS</v>
      </c>
      <c r="I468" s="3" t="str">
        <f t="shared" si="6"/>
        <v>FOOTBALL</v>
      </c>
      <c r="J468" s="3">
        <f t="shared" si="7"/>
        <v>3</v>
      </c>
      <c r="K468" s="3">
        <f t="shared" si="8"/>
        <v>544</v>
      </c>
      <c r="L468" s="4">
        <f t="shared" si="9"/>
        <v>0.17</v>
      </c>
      <c r="M468" s="3">
        <f t="shared" si="10"/>
        <v>1354.56</v>
      </c>
      <c r="N468" s="3">
        <f t="shared" si="11"/>
        <v>948</v>
      </c>
      <c r="O468" s="3">
        <f t="shared" si="12"/>
        <v>407</v>
      </c>
      <c r="P468" s="3" t="str">
        <f t="shared" si="13"/>
        <v>CARD</v>
      </c>
      <c r="Q468" s="3" t="str">
        <f t="shared" si="14"/>
        <v>CANCELLED</v>
      </c>
    </row>
    <row r="469">
      <c r="A469" s="1" t="s">
        <v>1456</v>
      </c>
      <c r="B469" s="2">
        <f t="shared" si="1"/>
        <v>46251</v>
      </c>
      <c r="C469" s="1" t="s">
        <v>1457</v>
      </c>
      <c r="D469" s="3" t="str">
        <f t="shared" si="2"/>
        <v>VINO</v>
      </c>
      <c r="E469" s="3" t="str">
        <f t="shared" si="3"/>
        <v>RAJASTHAN</v>
      </c>
      <c r="F469" s="3" t="str">
        <f t="shared" si="4"/>
        <v>JAIPUR</v>
      </c>
      <c r="G469" s="1" t="s">
        <v>1458</v>
      </c>
      <c r="H469" s="3" t="str">
        <f t="shared" si="5"/>
        <v>FOOD</v>
      </c>
      <c r="I469" s="3" t="str">
        <f t="shared" si="6"/>
        <v>BIRIYANI</v>
      </c>
      <c r="J469" s="3">
        <f t="shared" si="7"/>
        <v>1</v>
      </c>
      <c r="K469" s="3">
        <f t="shared" si="8"/>
        <v>183</v>
      </c>
      <c r="L469" s="4">
        <f t="shared" si="9"/>
        <v>0</v>
      </c>
      <c r="M469" s="3">
        <f t="shared" si="10"/>
        <v>183</v>
      </c>
      <c r="N469" s="3">
        <f t="shared" si="11"/>
        <v>128</v>
      </c>
      <c r="O469" s="3">
        <f t="shared" si="12"/>
        <v>55</v>
      </c>
      <c r="P469" s="3" t="str">
        <f t="shared" si="13"/>
        <v>COD</v>
      </c>
      <c r="Q469" s="3" t="str">
        <f t="shared" si="14"/>
        <v>RETURNED</v>
      </c>
    </row>
    <row r="470">
      <c r="A470" s="1" t="s">
        <v>1459</v>
      </c>
      <c r="B470" s="2">
        <f t="shared" si="1"/>
        <v>46059</v>
      </c>
      <c r="C470" s="1" t="s">
        <v>1460</v>
      </c>
      <c r="D470" s="3" t="str">
        <f t="shared" si="2"/>
        <v>ABI</v>
      </c>
      <c r="E470" s="3" t="str">
        <f t="shared" si="3"/>
        <v>WEST BENGAL</v>
      </c>
      <c r="F470" s="3" t="str">
        <f t="shared" si="4"/>
        <v>KOLKATA</v>
      </c>
      <c r="G470" s="1" t="s">
        <v>1461</v>
      </c>
      <c r="H470" s="3" t="str">
        <f t="shared" si="5"/>
        <v>DRESS</v>
      </c>
      <c r="I470" s="3" t="str">
        <f t="shared" si="6"/>
        <v>WOMEN WAERS</v>
      </c>
      <c r="J470" s="3">
        <f t="shared" si="7"/>
        <v>2</v>
      </c>
      <c r="K470" s="3">
        <f t="shared" si="8"/>
        <v>120</v>
      </c>
      <c r="L470" s="4">
        <f t="shared" si="9"/>
        <v>0.1</v>
      </c>
      <c r="M470" s="3">
        <f t="shared" si="10"/>
        <v>216</v>
      </c>
      <c r="N470" s="3">
        <f t="shared" si="11"/>
        <v>151</v>
      </c>
      <c r="O470" s="3">
        <f t="shared" si="12"/>
        <v>65</v>
      </c>
      <c r="P470" s="3" t="str">
        <f t="shared" si="13"/>
        <v>NET BANKING</v>
      </c>
      <c r="Q470" s="3" t="str">
        <f t="shared" si="14"/>
        <v>DELIVERED</v>
      </c>
    </row>
    <row r="471">
      <c r="A471" s="1" t="s">
        <v>1462</v>
      </c>
      <c r="B471" s="2">
        <f t="shared" si="1"/>
        <v>46123</v>
      </c>
      <c r="C471" s="1" t="s">
        <v>1463</v>
      </c>
      <c r="D471" s="3" t="str">
        <f t="shared" si="2"/>
        <v>NIHAAR</v>
      </c>
      <c r="E471" s="3" t="str">
        <f t="shared" si="3"/>
        <v>MAGARASTRA</v>
      </c>
      <c r="F471" s="3" t="str">
        <f t="shared" si="4"/>
        <v>PUNE</v>
      </c>
      <c r="G471" s="1" t="s">
        <v>1464</v>
      </c>
      <c r="H471" s="3" t="str">
        <f t="shared" si="5"/>
        <v>BEAUTY</v>
      </c>
      <c r="I471" s="3" t="str">
        <f t="shared" si="6"/>
        <v>KAJAL</v>
      </c>
      <c r="J471" s="3">
        <f t="shared" si="7"/>
        <v>1</v>
      </c>
      <c r="K471" s="3">
        <f t="shared" si="8"/>
        <v>402</v>
      </c>
      <c r="L471" s="4">
        <f t="shared" si="9"/>
        <v>0.15</v>
      </c>
      <c r="M471" s="3">
        <f t="shared" si="10"/>
        <v>341.7</v>
      </c>
      <c r="N471" s="3">
        <f t="shared" si="11"/>
        <v>239</v>
      </c>
      <c r="O471" s="3">
        <f t="shared" si="12"/>
        <v>103</v>
      </c>
      <c r="P471" s="3" t="str">
        <f t="shared" si="13"/>
        <v>WALLET</v>
      </c>
      <c r="Q471" s="3" t="str">
        <f t="shared" si="14"/>
        <v>SHIPPED</v>
      </c>
    </row>
    <row r="472">
      <c r="A472" s="1" t="s">
        <v>1465</v>
      </c>
      <c r="B472" s="2">
        <f t="shared" si="1"/>
        <v>46248</v>
      </c>
      <c r="C472" s="1" t="s">
        <v>1466</v>
      </c>
      <c r="D472" s="3" t="str">
        <f t="shared" si="2"/>
        <v>SRI</v>
      </c>
      <c r="E472" s="3" t="str">
        <f t="shared" si="3"/>
        <v>TAMILNADU</v>
      </c>
      <c r="F472" s="3" t="str">
        <f t="shared" si="4"/>
        <v>THOOTHUKUDI</v>
      </c>
      <c r="G472" s="1" t="s">
        <v>1467</v>
      </c>
      <c r="H472" s="3" t="str">
        <f t="shared" si="5"/>
        <v>HOME &amp; KITCHEN</v>
      </c>
      <c r="I472" s="3" t="str">
        <f t="shared" si="6"/>
        <v>MIXER GRAINDER</v>
      </c>
      <c r="J472" s="3">
        <f t="shared" si="7"/>
        <v>1</v>
      </c>
      <c r="K472" s="3">
        <f t="shared" si="8"/>
        <v>413</v>
      </c>
      <c r="L472" s="4">
        <f t="shared" si="9"/>
        <v>0.1</v>
      </c>
      <c r="M472" s="3">
        <f t="shared" si="10"/>
        <v>371.7</v>
      </c>
      <c r="N472" s="3">
        <f t="shared" si="11"/>
        <v>260</v>
      </c>
      <c r="O472" s="3">
        <f t="shared" si="12"/>
        <v>112</v>
      </c>
      <c r="P472" s="3" t="str">
        <f t="shared" si="13"/>
        <v>UPI</v>
      </c>
      <c r="Q472" s="3" t="str">
        <f t="shared" si="14"/>
        <v>CANCELLED</v>
      </c>
    </row>
    <row r="473">
      <c r="A473" s="1" t="s">
        <v>1468</v>
      </c>
      <c r="B473" s="2">
        <f t="shared" si="1"/>
        <v>46308</v>
      </c>
      <c r="C473" s="1" t="s">
        <v>1469</v>
      </c>
      <c r="D473" s="3" t="str">
        <f t="shared" si="2"/>
        <v>SHOBN</v>
      </c>
      <c r="E473" s="3" t="str">
        <f t="shared" si="3"/>
        <v>KERALA</v>
      </c>
      <c r="F473" s="3" t="str">
        <f t="shared" si="4"/>
        <v>KOCHI</v>
      </c>
      <c r="G473" s="1" t="s">
        <v>1470</v>
      </c>
      <c r="H473" s="3" t="str">
        <f t="shared" si="5"/>
        <v>BOOKS</v>
      </c>
      <c r="I473" s="3" t="str">
        <f t="shared" si="6"/>
        <v>LIFE OF PI</v>
      </c>
      <c r="J473" s="3">
        <f t="shared" si="7"/>
        <v>2</v>
      </c>
      <c r="K473" s="3">
        <f t="shared" si="8"/>
        <v>255</v>
      </c>
      <c r="L473" s="4">
        <f t="shared" si="9"/>
        <v>0</v>
      </c>
      <c r="M473" s="3">
        <f t="shared" si="10"/>
        <v>510</v>
      </c>
      <c r="N473" s="3">
        <f t="shared" si="11"/>
        <v>357</v>
      </c>
      <c r="O473" s="3">
        <f t="shared" si="12"/>
        <v>153</v>
      </c>
      <c r="P473" s="3" t="str">
        <f t="shared" si="13"/>
        <v>CARD</v>
      </c>
      <c r="Q473" s="3" t="str">
        <f t="shared" si="14"/>
        <v>RETURNED</v>
      </c>
    </row>
    <row r="474">
      <c r="A474" s="1" t="s">
        <v>1471</v>
      </c>
      <c r="B474" s="2">
        <f t="shared" si="1"/>
        <v>46160</v>
      </c>
      <c r="C474" s="1" t="s">
        <v>1472</v>
      </c>
      <c r="D474" s="3" t="str">
        <f t="shared" si="2"/>
        <v>SOBI</v>
      </c>
      <c r="E474" s="3" t="str">
        <f t="shared" si="3"/>
        <v>KARNATAKA</v>
      </c>
      <c r="F474" s="3" t="str">
        <f t="shared" si="4"/>
        <v>BANGALURU</v>
      </c>
      <c r="G474" s="1" t="s">
        <v>1473</v>
      </c>
      <c r="H474" s="3" t="str">
        <f t="shared" si="5"/>
        <v>ACCESSORIES</v>
      </c>
      <c r="I474" s="3" t="str">
        <f t="shared" si="6"/>
        <v>EARRINGS</v>
      </c>
      <c r="J474" s="3">
        <f t="shared" si="7"/>
        <v>4</v>
      </c>
      <c r="K474" s="3">
        <f t="shared" si="8"/>
        <v>502</v>
      </c>
      <c r="L474" s="4">
        <f t="shared" si="9"/>
        <v>0</v>
      </c>
      <c r="M474" s="3">
        <f t="shared" si="10"/>
        <v>2008</v>
      </c>
      <c r="N474" s="3">
        <f t="shared" si="11"/>
        <v>1406</v>
      </c>
      <c r="O474" s="3">
        <f t="shared" si="12"/>
        <v>602</v>
      </c>
      <c r="P474" s="3" t="str">
        <f t="shared" si="13"/>
        <v>COD</v>
      </c>
      <c r="Q474" s="3" t="str">
        <f t="shared" si="14"/>
        <v>DELIVERED</v>
      </c>
    </row>
    <row r="475">
      <c r="A475" s="1" t="s">
        <v>1474</v>
      </c>
      <c r="B475" s="2">
        <f t="shared" si="1"/>
        <v>46316</v>
      </c>
      <c r="C475" s="1" t="s">
        <v>1475</v>
      </c>
      <c r="D475" s="3" t="str">
        <f t="shared" si="2"/>
        <v>SUJI</v>
      </c>
      <c r="E475" s="3" t="str">
        <f t="shared" si="3"/>
        <v>ANDHRA PRADESH</v>
      </c>
      <c r="F475" s="3" t="str">
        <f t="shared" si="4"/>
        <v>TIRUPATI</v>
      </c>
      <c r="G475" s="1" t="s">
        <v>1476</v>
      </c>
      <c r="H475" s="3" t="str">
        <f t="shared" si="5"/>
        <v>ELECTRONICS</v>
      </c>
      <c r="I475" s="3" t="str">
        <f t="shared" si="6"/>
        <v>WIRELESS EARBUDS</v>
      </c>
      <c r="J475" s="3">
        <f t="shared" si="7"/>
        <v>1</v>
      </c>
      <c r="K475" s="3">
        <f t="shared" si="8"/>
        <v>470</v>
      </c>
      <c r="L475" s="4">
        <f t="shared" si="9"/>
        <v>0.5</v>
      </c>
      <c r="M475" s="3">
        <f t="shared" si="10"/>
        <v>235</v>
      </c>
      <c r="N475" s="3">
        <f t="shared" si="11"/>
        <v>165</v>
      </c>
      <c r="O475" s="3">
        <f t="shared" si="12"/>
        <v>70</v>
      </c>
      <c r="P475" s="3" t="str">
        <f t="shared" si="13"/>
        <v>NET BANKING</v>
      </c>
      <c r="Q475" s="3" t="str">
        <f t="shared" si="14"/>
        <v>SHIPPED</v>
      </c>
    </row>
    <row r="476">
      <c r="A476" s="1" t="s">
        <v>1477</v>
      </c>
      <c r="B476" s="2">
        <f t="shared" si="1"/>
        <v>46237</v>
      </c>
      <c r="C476" s="1" t="s">
        <v>1478</v>
      </c>
      <c r="D476" s="3" t="str">
        <f t="shared" si="2"/>
        <v>RATHA</v>
      </c>
      <c r="E476" s="3" t="str">
        <f t="shared" si="3"/>
        <v>TELUGANA</v>
      </c>
      <c r="F476" s="3" t="str">
        <f t="shared" si="4"/>
        <v>HYDERABAD</v>
      </c>
      <c r="G476" s="1" t="s">
        <v>1479</v>
      </c>
      <c r="H476" s="3" t="str">
        <f t="shared" si="5"/>
        <v>SPORTS</v>
      </c>
      <c r="I476" s="3" t="str">
        <f t="shared" si="6"/>
        <v>FOOTBALL</v>
      </c>
      <c r="J476" s="3">
        <f t="shared" si="7"/>
        <v>4</v>
      </c>
      <c r="K476" s="3">
        <f t="shared" si="8"/>
        <v>600</v>
      </c>
      <c r="L476" s="4">
        <f t="shared" si="9"/>
        <v>0.15</v>
      </c>
      <c r="M476" s="3">
        <f t="shared" si="10"/>
        <v>2040</v>
      </c>
      <c r="N476" s="3">
        <f t="shared" si="11"/>
        <v>1428</v>
      </c>
      <c r="O476" s="3">
        <f t="shared" si="12"/>
        <v>612</v>
      </c>
      <c r="P476" s="3" t="str">
        <f t="shared" si="13"/>
        <v>WALLET</v>
      </c>
      <c r="Q476" s="3" t="str">
        <f t="shared" si="14"/>
        <v>CANCELLED</v>
      </c>
    </row>
    <row r="477">
      <c r="A477" s="1" t="s">
        <v>1480</v>
      </c>
      <c r="B477" s="2">
        <f t="shared" si="1"/>
        <v>46105</v>
      </c>
      <c r="C477" s="1" t="s">
        <v>1481</v>
      </c>
      <c r="D477" s="3" t="str">
        <f t="shared" si="2"/>
        <v>SUSA</v>
      </c>
      <c r="E477" s="3" t="str">
        <f t="shared" si="3"/>
        <v>UTTHRA PRADESH</v>
      </c>
      <c r="F477" s="3" t="str">
        <f t="shared" si="4"/>
        <v>LUCKNOW</v>
      </c>
      <c r="G477" s="1" t="s">
        <v>1482</v>
      </c>
      <c r="H477" s="3" t="str">
        <f t="shared" si="5"/>
        <v>FOOD</v>
      </c>
      <c r="I477" s="3" t="str">
        <f t="shared" si="6"/>
        <v>BIRIYANI</v>
      </c>
      <c r="J477" s="3">
        <f t="shared" si="7"/>
        <v>1</v>
      </c>
      <c r="K477" s="3">
        <f t="shared" si="8"/>
        <v>600</v>
      </c>
      <c r="L477" s="4">
        <f t="shared" si="9"/>
        <v>0</v>
      </c>
      <c r="M477" s="3">
        <f t="shared" si="10"/>
        <v>600</v>
      </c>
      <c r="N477" s="3">
        <f t="shared" si="11"/>
        <v>420</v>
      </c>
      <c r="O477" s="3">
        <f t="shared" si="12"/>
        <v>180</v>
      </c>
      <c r="P477" s="3" t="str">
        <f t="shared" si="13"/>
        <v>UPI</v>
      </c>
      <c r="Q477" s="3" t="str">
        <f t="shared" si="14"/>
        <v>RETURNED</v>
      </c>
    </row>
    <row r="478">
      <c r="A478" s="1" t="s">
        <v>1483</v>
      </c>
      <c r="B478" s="2">
        <f t="shared" si="1"/>
        <v>46147</v>
      </c>
      <c r="C478" s="1" t="s">
        <v>1484</v>
      </c>
      <c r="D478" s="3" t="str">
        <f t="shared" si="2"/>
        <v>NIVE</v>
      </c>
      <c r="E478" s="3" t="str">
        <f t="shared" si="3"/>
        <v>GUJARAT</v>
      </c>
      <c r="F478" s="3" t="str">
        <f t="shared" si="4"/>
        <v>SURAT</v>
      </c>
      <c r="G478" s="1" t="s">
        <v>1485</v>
      </c>
      <c r="H478" s="3" t="str">
        <f t="shared" si="5"/>
        <v>DRESS</v>
      </c>
      <c r="I478" s="3" t="str">
        <f t="shared" si="6"/>
        <v>WOMEN WAERS</v>
      </c>
      <c r="J478" s="3">
        <f t="shared" si="7"/>
        <v>5</v>
      </c>
      <c r="K478" s="3">
        <f t="shared" si="8"/>
        <v>452</v>
      </c>
      <c r="L478" s="4">
        <f t="shared" si="9"/>
        <v>0.5</v>
      </c>
      <c r="M478" s="3">
        <f t="shared" si="10"/>
        <v>1130</v>
      </c>
      <c r="N478" s="3">
        <f t="shared" si="11"/>
        <v>791</v>
      </c>
      <c r="O478" s="3">
        <f t="shared" si="12"/>
        <v>339</v>
      </c>
      <c r="P478" s="3" t="str">
        <f t="shared" si="13"/>
        <v>CARD</v>
      </c>
      <c r="Q478" s="3" t="str">
        <f t="shared" si="14"/>
        <v>DELIVERED</v>
      </c>
    </row>
    <row r="479">
      <c r="A479" s="1" t="s">
        <v>1486</v>
      </c>
      <c r="B479" s="2">
        <f t="shared" si="1"/>
        <v>46213</v>
      </c>
      <c r="C479" s="1" t="s">
        <v>1487</v>
      </c>
      <c r="D479" s="3" t="str">
        <f t="shared" si="2"/>
        <v>VINO</v>
      </c>
      <c r="E479" s="3" t="str">
        <f t="shared" si="3"/>
        <v>RAJASTHAN</v>
      </c>
      <c r="F479" s="3" t="str">
        <f t="shared" si="4"/>
        <v>JAIPUR</v>
      </c>
      <c r="G479" s="1" t="s">
        <v>1488</v>
      </c>
      <c r="H479" s="3" t="str">
        <f t="shared" si="5"/>
        <v>BEAUTY</v>
      </c>
      <c r="I479" s="3" t="str">
        <f t="shared" si="6"/>
        <v>KAJAL</v>
      </c>
      <c r="J479" s="3">
        <f t="shared" si="7"/>
        <v>5</v>
      </c>
      <c r="K479" s="3">
        <f t="shared" si="8"/>
        <v>162</v>
      </c>
      <c r="L479" s="4">
        <f t="shared" si="9"/>
        <v>0.5</v>
      </c>
      <c r="M479" s="3">
        <f t="shared" si="10"/>
        <v>405</v>
      </c>
      <c r="N479" s="3">
        <f t="shared" si="11"/>
        <v>284</v>
      </c>
      <c r="O479" s="3">
        <f t="shared" si="12"/>
        <v>121</v>
      </c>
      <c r="P479" s="3" t="str">
        <f t="shared" si="13"/>
        <v>COD</v>
      </c>
      <c r="Q479" s="3" t="str">
        <f t="shared" si="14"/>
        <v>SHIPPED</v>
      </c>
    </row>
    <row r="480">
      <c r="A480" s="1" t="s">
        <v>1489</v>
      </c>
      <c r="B480" s="2">
        <f t="shared" si="1"/>
        <v>46199</v>
      </c>
      <c r="C480" s="1" t="s">
        <v>1490</v>
      </c>
      <c r="D480" s="3" t="str">
        <f t="shared" si="2"/>
        <v>ABI</v>
      </c>
      <c r="E480" s="3" t="str">
        <f t="shared" si="3"/>
        <v>WEST BENGAL</v>
      </c>
      <c r="F480" s="3" t="str">
        <f t="shared" si="4"/>
        <v>KOLKATA</v>
      </c>
      <c r="G480" s="1" t="s">
        <v>1491</v>
      </c>
      <c r="H480" s="3" t="str">
        <f t="shared" si="5"/>
        <v>HOME &amp; KITCHEN</v>
      </c>
      <c r="I480" s="3" t="str">
        <f t="shared" si="6"/>
        <v>MIXER GRAINDER</v>
      </c>
      <c r="J480" s="3">
        <f t="shared" si="7"/>
        <v>4</v>
      </c>
      <c r="K480" s="3">
        <f t="shared" si="8"/>
        <v>588</v>
      </c>
      <c r="L480" s="4">
        <f t="shared" si="9"/>
        <v>0.17</v>
      </c>
      <c r="M480" s="3">
        <f t="shared" si="10"/>
        <v>1952.16</v>
      </c>
      <c r="N480" s="3">
        <f t="shared" si="11"/>
        <v>1367</v>
      </c>
      <c r="O480" s="3">
        <f t="shared" si="12"/>
        <v>585</v>
      </c>
      <c r="P480" s="3" t="str">
        <f t="shared" si="13"/>
        <v>NET BANKING</v>
      </c>
      <c r="Q480" s="3" t="str">
        <f t="shared" si="14"/>
        <v>CANCELLED</v>
      </c>
    </row>
    <row r="481">
      <c r="A481" s="1" t="s">
        <v>1492</v>
      </c>
      <c r="B481" s="2">
        <f t="shared" si="1"/>
        <v>46102</v>
      </c>
      <c r="C481" s="1" t="s">
        <v>1493</v>
      </c>
      <c r="D481" s="3" t="str">
        <f t="shared" si="2"/>
        <v>NIHAAR</v>
      </c>
      <c r="E481" s="3" t="str">
        <f t="shared" si="3"/>
        <v>MAGARASTRA</v>
      </c>
      <c r="F481" s="3" t="str">
        <f t="shared" si="4"/>
        <v>PUNE</v>
      </c>
      <c r="G481" s="1" t="s">
        <v>1494</v>
      </c>
      <c r="H481" s="3" t="str">
        <f t="shared" si="5"/>
        <v>BOOKS</v>
      </c>
      <c r="I481" s="3" t="str">
        <f t="shared" si="6"/>
        <v>LIFE OF PI</v>
      </c>
      <c r="J481" s="3">
        <f t="shared" si="7"/>
        <v>1</v>
      </c>
      <c r="K481" s="3">
        <f t="shared" si="8"/>
        <v>138</v>
      </c>
      <c r="L481" s="4">
        <f t="shared" si="9"/>
        <v>0</v>
      </c>
      <c r="M481" s="3">
        <f t="shared" si="10"/>
        <v>138</v>
      </c>
      <c r="N481" s="3">
        <f t="shared" si="11"/>
        <v>97</v>
      </c>
      <c r="O481" s="3">
        <f t="shared" si="12"/>
        <v>41</v>
      </c>
      <c r="P481" s="3" t="str">
        <f t="shared" si="13"/>
        <v>WALLET</v>
      </c>
      <c r="Q481" s="3" t="str">
        <f t="shared" si="14"/>
        <v>RETURNED</v>
      </c>
    </row>
    <row r="482">
      <c r="A482" s="1" t="s">
        <v>1495</v>
      </c>
      <c r="B482" s="2">
        <f t="shared" si="1"/>
        <v>46128</v>
      </c>
      <c r="C482" s="1" t="s">
        <v>1496</v>
      </c>
      <c r="D482" s="3" t="str">
        <f t="shared" si="2"/>
        <v>SRI</v>
      </c>
      <c r="E482" s="3" t="str">
        <f t="shared" si="3"/>
        <v>TAMILNADU</v>
      </c>
      <c r="F482" s="3" t="str">
        <f t="shared" si="4"/>
        <v>THOOTHUKUDI</v>
      </c>
      <c r="G482" s="1" t="s">
        <v>1497</v>
      </c>
      <c r="H482" s="3" t="str">
        <f t="shared" si="5"/>
        <v>ACCESSORIES</v>
      </c>
      <c r="I482" s="3" t="str">
        <f t="shared" si="6"/>
        <v>EARRINGS</v>
      </c>
      <c r="J482" s="3">
        <f t="shared" si="7"/>
        <v>3</v>
      </c>
      <c r="K482" s="3">
        <f t="shared" si="8"/>
        <v>488</v>
      </c>
      <c r="L482" s="4">
        <f t="shared" si="9"/>
        <v>0.17</v>
      </c>
      <c r="M482" s="3">
        <f t="shared" si="10"/>
        <v>1215.12</v>
      </c>
      <c r="N482" s="3">
        <f t="shared" si="11"/>
        <v>851</v>
      </c>
      <c r="O482" s="3">
        <f t="shared" si="12"/>
        <v>364</v>
      </c>
      <c r="P482" s="3" t="str">
        <f t="shared" si="13"/>
        <v>UPI</v>
      </c>
      <c r="Q482" s="3" t="str">
        <f t="shared" si="14"/>
        <v>DELIVERED</v>
      </c>
    </row>
    <row r="483">
      <c r="A483" s="1" t="s">
        <v>1498</v>
      </c>
      <c r="B483" s="2">
        <f t="shared" si="1"/>
        <v>46026</v>
      </c>
      <c r="C483" s="1" t="s">
        <v>1499</v>
      </c>
      <c r="D483" s="3" t="str">
        <f t="shared" si="2"/>
        <v>SHOBN</v>
      </c>
      <c r="E483" s="3" t="str">
        <f t="shared" si="3"/>
        <v>KERALA</v>
      </c>
      <c r="F483" s="3" t="str">
        <f t="shared" si="4"/>
        <v>KOCHI</v>
      </c>
      <c r="G483" s="1" t="s">
        <v>1500</v>
      </c>
      <c r="H483" s="3" t="str">
        <f t="shared" si="5"/>
        <v>ELECTRONICS</v>
      </c>
      <c r="I483" s="3" t="str">
        <f t="shared" si="6"/>
        <v>WIRELESS EARBUDS</v>
      </c>
      <c r="J483" s="3">
        <f t="shared" si="7"/>
        <v>1</v>
      </c>
      <c r="K483" s="3">
        <f t="shared" si="8"/>
        <v>573</v>
      </c>
      <c r="L483" s="4">
        <f t="shared" si="9"/>
        <v>0</v>
      </c>
      <c r="M483" s="3">
        <f t="shared" si="10"/>
        <v>573</v>
      </c>
      <c r="N483" s="3">
        <f t="shared" si="11"/>
        <v>401</v>
      </c>
      <c r="O483" s="3">
        <f t="shared" si="12"/>
        <v>172</v>
      </c>
      <c r="P483" s="3" t="str">
        <f t="shared" si="13"/>
        <v>CARD</v>
      </c>
      <c r="Q483" s="3" t="str">
        <f t="shared" si="14"/>
        <v>SHIPPED</v>
      </c>
    </row>
    <row r="484">
      <c r="A484" s="1" t="s">
        <v>1501</v>
      </c>
      <c r="B484" s="2">
        <f t="shared" si="1"/>
        <v>46160</v>
      </c>
      <c r="C484" s="1" t="s">
        <v>1502</v>
      </c>
      <c r="D484" s="3" t="str">
        <f t="shared" si="2"/>
        <v>SOBI</v>
      </c>
      <c r="E484" s="3" t="str">
        <f t="shared" si="3"/>
        <v>KARNATAKA</v>
      </c>
      <c r="F484" s="3" t="str">
        <f t="shared" si="4"/>
        <v>BANGALURU</v>
      </c>
      <c r="G484" s="1" t="s">
        <v>1503</v>
      </c>
      <c r="H484" s="3" t="str">
        <f t="shared" si="5"/>
        <v>SPORTS</v>
      </c>
      <c r="I484" s="3" t="str">
        <f t="shared" si="6"/>
        <v>FOOTBALL</v>
      </c>
      <c r="J484" s="3">
        <f t="shared" si="7"/>
        <v>1</v>
      </c>
      <c r="K484" s="3">
        <f t="shared" si="8"/>
        <v>431</v>
      </c>
      <c r="L484" s="4">
        <f t="shared" si="9"/>
        <v>0.5</v>
      </c>
      <c r="M484" s="3">
        <f t="shared" si="10"/>
        <v>215.5</v>
      </c>
      <c r="N484" s="3">
        <f t="shared" si="11"/>
        <v>151</v>
      </c>
      <c r="O484" s="3">
        <f t="shared" si="12"/>
        <v>65</v>
      </c>
      <c r="P484" s="3" t="str">
        <f t="shared" si="13"/>
        <v>COD</v>
      </c>
      <c r="Q484" s="3" t="str">
        <f t="shared" si="14"/>
        <v>CANCELLED</v>
      </c>
    </row>
    <row r="485">
      <c r="A485" s="1" t="s">
        <v>1504</v>
      </c>
      <c r="B485" s="2">
        <f t="shared" si="1"/>
        <v>46032</v>
      </c>
      <c r="C485" s="1" t="s">
        <v>1505</v>
      </c>
      <c r="D485" s="3" t="str">
        <f t="shared" si="2"/>
        <v>SUJI</v>
      </c>
      <c r="E485" s="3" t="str">
        <f t="shared" si="3"/>
        <v>ANDHRA PRADESH</v>
      </c>
      <c r="F485" s="3" t="str">
        <f t="shared" si="4"/>
        <v>TIRUPATI</v>
      </c>
      <c r="G485" s="1" t="s">
        <v>1506</v>
      </c>
      <c r="H485" s="3" t="str">
        <f t="shared" si="5"/>
        <v>FOOD</v>
      </c>
      <c r="I485" s="3" t="str">
        <f t="shared" si="6"/>
        <v>BIRIYANI</v>
      </c>
      <c r="J485" s="3">
        <f t="shared" si="7"/>
        <v>4</v>
      </c>
      <c r="K485" s="3">
        <f t="shared" si="8"/>
        <v>116</v>
      </c>
      <c r="L485" s="4">
        <f t="shared" si="9"/>
        <v>0</v>
      </c>
      <c r="M485" s="3">
        <f t="shared" si="10"/>
        <v>464</v>
      </c>
      <c r="N485" s="3">
        <f t="shared" si="11"/>
        <v>325</v>
      </c>
      <c r="O485" s="3">
        <f t="shared" si="12"/>
        <v>139</v>
      </c>
      <c r="P485" s="3" t="str">
        <f t="shared" si="13"/>
        <v>NET BANKING</v>
      </c>
      <c r="Q485" s="3" t="str">
        <f t="shared" si="14"/>
        <v>RETURNED</v>
      </c>
    </row>
    <row r="486">
      <c r="A486" s="1" t="s">
        <v>1507</v>
      </c>
      <c r="B486" s="2">
        <f t="shared" si="1"/>
        <v>46140</v>
      </c>
      <c r="C486" s="1" t="s">
        <v>1508</v>
      </c>
      <c r="D486" s="3" t="str">
        <f t="shared" si="2"/>
        <v>RATHA</v>
      </c>
      <c r="E486" s="3" t="str">
        <f t="shared" si="3"/>
        <v>TELUGANA</v>
      </c>
      <c r="F486" s="3" t="str">
        <f t="shared" si="4"/>
        <v>HYDERABAD</v>
      </c>
      <c r="G486" s="1" t="s">
        <v>1509</v>
      </c>
      <c r="H486" s="3" t="str">
        <f t="shared" si="5"/>
        <v>DRESS</v>
      </c>
      <c r="I486" s="3" t="str">
        <f t="shared" si="6"/>
        <v>WOMEN WAERS</v>
      </c>
      <c r="J486" s="3">
        <f t="shared" si="7"/>
        <v>2</v>
      </c>
      <c r="K486" s="3">
        <f t="shared" si="8"/>
        <v>564</v>
      </c>
      <c r="L486" s="4">
        <f t="shared" si="9"/>
        <v>0.17</v>
      </c>
      <c r="M486" s="3">
        <f t="shared" si="10"/>
        <v>936.24</v>
      </c>
      <c r="N486" s="3">
        <f t="shared" si="11"/>
        <v>655</v>
      </c>
      <c r="O486" s="3">
        <f t="shared" si="12"/>
        <v>281</v>
      </c>
      <c r="P486" s="3" t="str">
        <f t="shared" si="13"/>
        <v>WALLET</v>
      </c>
      <c r="Q486" s="3" t="str">
        <f t="shared" si="14"/>
        <v>DELIVERED</v>
      </c>
    </row>
    <row r="487">
      <c r="A487" s="1" t="s">
        <v>1510</v>
      </c>
      <c r="B487" s="2">
        <f t="shared" si="1"/>
        <v>46068</v>
      </c>
      <c r="C487" s="1" t="s">
        <v>1511</v>
      </c>
      <c r="D487" s="3" t="str">
        <f t="shared" si="2"/>
        <v>SUSA</v>
      </c>
      <c r="E487" s="3" t="str">
        <f t="shared" si="3"/>
        <v>UTTHRA PRADESH</v>
      </c>
      <c r="F487" s="3" t="str">
        <f t="shared" si="4"/>
        <v>LUCKNOW</v>
      </c>
      <c r="G487" s="1" t="s">
        <v>1512</v>
      </c>
      <c r="H487" s="3" t="str">
        <f t="shared" si="5"/>
        <v>BEAUTY</v>
      </c>
      <c r="I487" s="3" t="str">
        <f t="shared" si="6"/>
        <v>KAJAL</v>
      </c>
      <c r="J487" s="3">
        <f t="shared" si="7"/>
        <v>1</v>
      </c>
      <c r="K487" s="3">
        <f t="shared" si="8"/>
        <v>598</v>
      </c>
      <c r="L487" s="4">
        <f t="shared" si="9"/>
        <v>0.15</v>
      </c>
      <c r="M487" s="3">
        <f t="shared" si="10"/>
        <v>508.3</v>
      </c>
      <c r="N487" s="3">
        <f t="shared" si="11"/>
        <v>356</v>
      </c>
      <c r="O487" s="3">
        <f t="shared" si="12"/>
        <v>152</v>
      </c>
      <c r="P487" s="3" t="str">
        <f t="shared" si="13"/>
        <v>UPI</v>
      </c>
      <c r="Q487" s="3" t="str">
        <f t="shared" si="14"/>
        <v>SHIPPED</v>
      </c>
    </row>
    <row r="488">
      <c r="A488" s="1" t="s">
        <v>1513</v>
      </c>
      <c r="B488" s="2">
        <f t="shared" si="1"/>
        <v>46244</v>
      </c>
      <c r="C488" s="1" t="s">
        <v>1514</v>
      </c>
      <c r="D488" s="3" t="str">
        <f t="shared" si="2"/>
        <v>NIVE</v>
      </c>
      <c r="E488" s="3" t="str">
        <f t="shared" si="3"/>
        <v>GUJARAT</v>
      </c>
      <c r="F488" s="3" t="str">
        <f t="shared" si="4"/>
        <v>SURAT</v>
      </c>
      <c r="G488" s="1" t="s">
        <v>1515</v>
      </c>
      <c r="H488" s="3" t="str">
        <f t="shared" si="5"/>
        <v>HOME &amp; KITCHEN</v>
      </c>
      <c r="I488" s="3" t="str">
        <f t="shared" si="6"/>
        <v>MIXER GRAINDER</v>
      </c>
      <c r="J488" s="3">
        <f t="shared" si="7"/>
        <v>4</v>
      </c>
      <c r="K488" s="3">
        <f t="shared" si="8"/>
        <v>565</v>
      </c>
      <c r="L488" s="4">
        <f t="shared" si="9"/>
        <v>0</v>
      </c>
      <c r="M488" s="3">
        <f t="shared" si="10"/>
        <v>2260</v>
      </c>
      <c r="N488" s="3">
        <f t="shared" si="11"/>
        <v>1582</v>
      </c>
      <c r="O488" s="3">
        <f t="shared" si="12"/>
        <v>678</v>
      </c>
      <c r="P488" s="3" t="str">
        <f t="shared" si="13"/>
        <v>CARD</v>
      </c>
      <c r="Q488" s="3" t="str">
        <f t="shared" si="14"/>
        <v>CANCELLED</v>
      </c>
    </row>
    <row r="489">
      <c r="A489" s="1" t="s">
        <v>1516</v>
      </c>
      <c r="B489" s="2">
        <f t="shared" si="1"/>
        <v>46081</v>
      </c>
      <c r="C489" s="1" t="s">
        <v>1517</v>
      </c>
      <c r="D489" s="3" t="str">
        <f t="shared" si="2"/>
        <v>VINO</v>
      </c>
      <c r="E489" s="3" t="str">
        <f t="shared" si="3"/>
        <v>RAJASTHAN</v>
      </c>
      <c r="F489" s="3" t="str">
        <f t="shared" si="4"/>
        <v>JAIPUR</v>
      </c>
      <c r="G489" s="1" t="s">
        <v>1518</v>
      </c>
      <c r="H489" s="3" t="str">
        <f t="shared" si="5"/>
        <v>BOOKS</v>
      </c>
      <c r="I489" s="3" t="str">
        <f t="shared" si="6"/>
        <v>LIFE OF PI</v>
      </c>
      <c r="J489" s="3">
        <f t="shared" si="7"/>
        <v>2</v>
      </c>
      <c r="K489" s="3">
        <f t="shared" si="8"/>
        <v>566</v>
      </c>
      <c r="L489" s="4">
        <f t="shared" si="9"/>
        <v>0.2</v>
      </c>
      <c r="M489" s="3">
        <f t="shared" si="10"/>
        <v>905.6</v>
      </c>
      <c r="N489" s="3">
        <f t="shared" si="11"/>
        <v>634</v>
      </c>
      <c r="O489" s="3">
        <f t="shared" si="12"/>
        <v>272</v>
      </c>
      <c r="P489" s="3" t="str">
        <f t="shared" si="13"/>
        <v>COD</v>
      </c>
      <c r="Q489" s="3" t="str">
        <f t="shared" si="14"/>
        <v>RETURNED</v>
      </c>
    </row>
    <row r="490">
      <c r="A490" s="1" t="s">
        <v>1519</v>
      </c>
      <c r="B490" s="2">
        <f t="shared" si="1"/>
        <v>46175</v>
      </c>
      <c r="C490" s="1" t="s">
        <v>1520</v>
      </c>
      <c r="D490" s="3" t="str">
        <f t="shared" si="2"/>
        <v>ABI</v>
      </c>
      <c r="E490" s="3" t="str">
        <f t="shared" si="3"/>
        <v>WEST BENGAL</v>
      </c>
      <c r="F490" s="3" t="str">
        <f t="shared" si="4"/>
        <v>KOLKATA</v>
      </c>
      <c r="G490" s="1" t="s">
        <v>1521</v>
      </c>
      <c r="H490" s="3" t="str">
        <f t="shared" si="5"/>
        <v>ACCESSORIES</v>
      </c>
      <c r="I490" s="3" t="str">
        <f t="shared" si="6"/>
        <v>EARRINGS</v>
      </c>
      <c r="J490" s="3">
        <f t="shared" si="7"/>
        <v>1</v>
      </c>
      <c r="K490" s="3">
        <f t="shared" si="8"/>
        <v>307</v>
      </c>
      <c r="L490" s="4">
        <f t="shared" si="9"/>
        <v>0.1</v>
      </c>
      <c r="M490" s="3">
        <f t="shared" si="10"/>
        <v>276.3</v>
      </c>
      <c r="N490" s="3">
        <f t="shared" si="11"/>
        <v>193</v>
      </c>
      <c r="O490" s="3">
        <f t="shared" si="12"/>
        <v>83</v>
      </c>
      <c r="P490" s="3" t="str">
        <f t="shared" si="13"/>
        <v>NET BANKING</v>
      </c>
      <c r="Q490" s="3" t="str">
        <f t="shared" si="14"/>
        <v>DELIVERED</v>
      </c>
    </row>
    <row r="491">
      <c r="A491" s="1" t="s">
        <v>1522</v>
      </c>
      <c r="B491" s="2">
        <f t="shared" si="1"/>
        <v>46346</v>
      </c>
      <c r="C491" s="1" t="s">
        <v>1523</v>
      </c>
      <c r="D491" s="3" t="str">
        <f t="shared" si="2"/>
        <v>NIHAAR</v>
      </c>
      <c r="E491" s="3" t="str">
        <f t="shared" si="3"/>
        <v>MAGARASTRA</v>
      </c>
      <c r="F491" s="3" t="str">
        <f t="shared" si="4"/>
        <v>PUNE</v>
      </c>
      <c r="G491" s="1" t="s">
        <v>1524</v>
      </c>
      <c r="H491" s="3" t="str">
        <f t="shared" si="5"/>
        <v>ELECTRONICS</v>
      </c>
      <c r="I491" s="3" t="str">
        <f t="shared" si="6"/>
        <v>WIRELESS EARBUDS</v>
      </c>
      <c r="J491" s="3">
        <f t="shared" si="7"/>
        <v>5</v>
      </c>
      <c r="K491" s="3">
        <f t="shared" si="8"/>
        <v>129</v>
      </c>
      <c r="L491" s="4">
        <f t="shared" si="9"/>
        <v>0.1</v>
      </c>
      <c r="M491" s="3">
        <f t="shared" si="10"/>
        <v>580.5</v>
      </c>
      <c r="N491" s="3">
        <f t="shared" si="11"/>
        <v>406</v>
      </c>
      <c r="O491" s="3">
        <f t="shared" si="12"/>
        <v>175</v>
      </c>
      <c r="P491" s="3" t="str">
        <f t="shared" si="13"/>
        <v>WALLET</v>
      </c>
      <c r="Q491" s="3" t="str">
        <f t="shared" si="14"/>
        <v>SHIPPED</v>
      </c>
    </row>
    <row r="492">
      <c r="A492" s="1" t="s">
        <v>1525</v>
      </c>
      <c r="B492" s="2">
        <f t="shared" si="1"/>
        <v>46332</v>
      </c>
      <c r="C492" s="1" t="s">
        <v>1526</v>
      </c>
      <c r="D492" s="3" t="str">
        <f t="shared" si="2"/>
        <v>SRI</v>
      </c>
      <c r="E492" s="3" t="str">
        <f t="shared" si="3"/>
        <v>TAMILNADU</v>
      </c>
      <c r="F492" s="3" t="str">
        <f t="shared" si="4"/>
        <v>THOOTHUKUDI</v>
      </c>
      <c r="G492" s="1" t="s">
        <v>1527</v>
      </c>
      <c r="H492" s="3" t="str">
        <f t="shared" si="5"/>
        <v>SPORTS</v>
      </c>
      <c r="I492" s="3" t="str">
        <f t="shared" si="6"/>
        <v>FOOTBALL</v>
      </c>
      <c r="J492" s="3">
        <f t="shared" si="7"/>
        <v>1</v>
      </c>
      <c r="K492" s="3">
        <f t="shared" si="8"/>
        <v>273</v>
      </c>
      <c r="L492" s="4">
        <f t="shared" si="9"/>
        <v>0.17</v>
      </c>
      <c r="M492" s="3">
        <f t="shared" si="10"/>
        <v>226.59</v>
      </c>
      <c r="N492" s="3">
        <f t="shared" si="11"/>
        <v>159</v>
      </c>
      <c r="O492" s="3">
        <f t="shared" si="12"/>
        <v>68</v>
      </c>
      <c r="P492" s="3" t="str">
        <f t="shared" si="13"/>
        <v>UPI</v>
      </c>
      <c r="Q492" s="3" t="str">
        <f t="shared" si="14"/>
        <v>CANCELLED</v>
      </c>
    </row>
    <row r="493">
      <c r="A493" s="1" t="s">
        <v>1528</v>
      </c>
      <c r="B493" s="2">
        <f t="shared" si="1"/>
        <v>46267</v>
      </c>
      <c r="C493" s="1" t="s">
        <v>1529</v>
      </c>
      <c r="D493" s="3" t="str">
        <f t="shared" si="2"/>
        <v>SHOBN</v>
      </c>
      <c r="E493" s="3" t="str">
        <f t="shared" si="3"/>
        <v>KERALA</v>
      </c>
      <c r="F493" s="3" t="str">
        <f t="shared" si="4"/>
        <v>KOCHI</v>
      </c>
      <c r="G493" s="1" t="s">
        <v>1530</v>
      </c>
      <c r="H493" s="3" t="str">
        <f t="shared" si="5"/>
        <v>FOOD</v>
      </c>
      <c r="I493" s="3" t="str">
        <f t="shared" si="6"/>
        <v>BIRIYANI</v>
      </c>
      <c r="J493" s="3">
        <f t="shared" si="7"/>
        <v>2</v>
      </c>
      <c r="K493" s="3">
        <f t="shared" si="8"/>
        <v>554</v>
      </c>
      <c r="L493" s="4">
        <f t="shared" si="9"/>
        <v>0.5</v>
      </c>
      <c r="M493" s="3">
        <f t="shared" si="10"/>
        <v>554</v>
      </c>
      <c r="N493" s="3">
        <f t="shared" si="11"/>
        <v>388</v>
      </c>
      <c r="O493" s="3">
        <f t="shared" si="12"/>
        <v>166</v>
      </c>
      <c r="P493" s="3" t="str">
        <f t="shared" si="13"/>
        <v>CARD</v>
      </c>
      <c r="Q493" s="3" t="str">
        <f t="shared" si="14"/>
        <v>RETURNED</v>
      </c>
    </row>
    <row r="494">
      <c r="A494" s="1" t="s">
        <v>1531</v>
      </c>
      <c r="B494" s="2">
        <f t="shared" si="1"/>
        <v>46065</v>
      </c>
      <c r="C494" s="1" t="s">
        <v>1532</v>
      </c>
      <c r="D494" s="3" t="str">
        <f t="shared" si="2"/>
        <v>SOBI</v>
      </c>
      <c r="E494" s="3" t="str">
        <f t="shared" si="3"/>
        <v>KARNATAKA</v>
      </c>
      <c r="F494" s="3" t="str">
        <f t="shared" si="4"/>
        <v>BANGALURU</v>
      </c>
      <c r="G494" s="1" t="s">
        <v>1533</v>
      </c>
      <c r="H494" s="3" t="str">
        <f t="shared" si="5"/>
        <v>DRESS</v>
      </c>
      <c r="I494" s="3" t="str">
        <f t="shared" si="6"/>
        <v>WOMEN WAERS</v>
      </c>
      <c r="J494" s="3">
        <f t="shared" si="7"/>
        <v>5</v>
      </c>
      <c r="K494" s="3">
        <f t="shared" si="8"/>
        <v>187</v>
      </c>
      <c r="L494" s="4">
        <f t="shared" si="9"/>
        <v>0</v>
      </c>
      <c r="M494" s="3">
        <f t="shared" si="10"/>
        <v>935</v>
      </c>
      <c r="N494" s="3">
        <f t="shared" si="11"/>
        <v>655</v>
      </c>
      <c r="O494" s="3">
        <f t="shared" si="12"/>
        <v>280</v>
      </c>
      <c r="P494" s="3" t="str">
        <f t="shared" si="13"/>
        <v>COD</v>
      </c>
      <c r="Q494" s="3" t="str">
        <f t="shared" si="14"/>
        <v>DELIVERED</v>
      </c>
    </row>
    <row r="495">
      <c r="A495" s="1" t="s">
        <v>1534</v>
      </c>
      <c r="B495" s="2">
        <f t="shared" si="1"/>
        <v>46355</v>
      </c>
      <c r="C495" s="1" t="s">
        <v>1535</v>
      </c>
      <c r="D495" s="3" t="str">
        <f t="shared" si="2"/>
        <v>SUJI</v>
      </c>
      <c r="E495" s="3" t="str">
        <f t="shared" si="3"/>
        <v>ANDHRA PRADESH</v>
      </c>
      <c r="F495" s="3" t="str">
        <f t="shared" si="4"/>
        <v>TIRUPATI</v>
      </c>
      <c r="G495" s="1" t="s">
        <v>1536</v>
      </c>
      <c r="H495" s="3" t="str">
        <f t="shared" si="5"/>
        <v>BEAUTY</v>
      </c>
      <c r="I495" s="3" t="str">
        <f t="shared" si="6"/>
        <v>KAJAL</v>
      </c>
      <c r="J495" s="3">
        <f t="shared" si="7"/>
        <v>1</v>
      </c>
      <c r="K495" s="3">
        <f t="shared" si="8"/>
        <v>497</v>
      </c>
      <c r="L495" s="4">
        <f t="shared" si="9"/>
        <v>0.2</v>
      </c>
      <c r="M495" s="3">
        <f t="shared" si="10"/>
        <v>397.6</v>
      </c>
      <c r="N495" s="3">
        <f t="shared" si="11"/>
        <v>278</v>
      </c>
      <c r="O495" s="3">
        <f t="shared" si="12"/>
        <v>120</v>
      </c>
      <c r="P495" s="3" t="str">
        <f t="shared" si="13"/>
        <v>NET BANKING</v>
      </c>
      <c r="Q495" s="3" t="str">
        <f t="shared" si="14"/>
        <v>SHIPPED</v>
      </c>
    </row>
    <row r="496">
      <c r="A496" s="1" t="s">
        <v>1537</v>
      </c>
      <c r="B496" s="2">
        <f t="shared" si="1"/>
        <v>46338</v>
      </c>
      <c r="C496" s="1" t="s">
        <v>1538</v>
      </c>
      <c r="D496" s="3" t="str">
        <f t="shared" si="2"/>
        <v>RATHA</v>
      </c>
      <c r="E496" s="3" t="str">
        <f t="shared" si="3"/>
        <v>TELUGANA</v>
      </c>
      <c r="F496" s="3" t="str">
        <f t="shared" si="4"/>
        <v>HYDERABAD</v>
      </c>
      <c r="G496" s="1" t="s">
        <v>1539</v>
      </c>
      <c r="H496" s="3" t="str">
        <f t="shared" si="5"/>
        <v>HOME &amp; KITCHEN</v>
      </c>
      <c r="I496" s="3" t="str">
        <f t="shared" si="6"/>
        <v>MIXER GRAINDER</v>
      </c>
      <c r="J496" s="3">
        <f t="shared" si="7"/>
        <v>3</v>
      </c>
      <c r="K496" s="3">
        <f t="shared" si="8"/>
        <v>119</v>
      </c>
      <c r="L496" s="4">
        <f t="shared" si="9"/>
        <v>0.1</v>
      </c>
      <c r="M496" s="3">
        <f t="shared" si="10"/>
        <v>321.3</v>
      </c>
      <c r="N496" s="3">
        <f t="shared" si="11"/>
        <v>225</v>
      </c>
      <c r="O496" s="3">
        <f t="shared" si="12"/>
        <v>96</v>
      </c>
      <c r="P496" s="3" t="str">
        <f t="shared" si="13"/>
        <v>WALLET</v>
      </c>
      <c r="Q496" s="3" t="str">
        <f t="shared" si="14"/>
        <v>CANCELLED</v>
      </c>
    </row>
    <row r="497">
      <c r="A497" s="1" t="s">
        <v>1540</v>
      </c>
      <c r="B497" s="2">
        <f t="shared" si="1"/>
        <v>46163</v>
      </c>
      <c r="C497" s="1" t="s">
        <v>1541</v>
      </c>
      <c r="D497" s="3" t="str">
        <f t="shared" si="2"/>
        <v>SUSA</v>
      </c>
      <c r="E497" s="3" t="str">
        <f t="shared" si="3"/>
        <v>UTTHRA PRADESH</v>
      </c>
      <c r="F497" s="3" t="str">
        <f t="shared" si="4"/>
        <v>LUCKNOW</v>
      </c>
      <c r="G497" s="1" t="s">
        <v>1542</v>
      </c>
      <c r="H497" s="3" t="str">
        <f t="shared" si="5"/>
        <v>BOOKS</v>
      </c>
      <c r="I497" s="3" t="str">
        <f t="shared" si="6"/>
        <v>LIFE OF PI</v>
      </c>
      <c r="J497" s="3">
        <f t="shared" si="7"/>
        <v>3</v>
      </c>
      <c r="K497" s="3">
        <f t="shared" si="8"/>
        <v>336</v>
      </c>
      <c r="L497" s="4">
        <f t="shared" si="9"/>
        <v>0.2</v>
      </c>
      <c r="M497" s="3">
        <f t="shared" si="10"/>
        <v>806.4</v>
      </c>
      <c r="N497" s="3">
        <f t="shared" si="11"/>
        <v>564</v>
      </c>
      <c r="O497" s="3">
        <f t="shared" si="12"/>
        <v>242</v>
      </c>
      <c r="P497" s="3" t="str">
        <f t="shared" si="13"/>
        <v>UPI</v>
      </c>
      <c r="Q497" s="3" t="str">
        <f t="shared" si="14"/>
        <v>RETURNED</v>
      </c>
    </row>
    <row r="498">
      <c r="A498" s="1" t="s">
        <v>1543</v>
      </c>
      <c r="B498" s="2">
        <f t="shared" si="1"/>
        <v>46120</v>
      </c>
      <c r="C498" s="1" t="s">
        <v>1544</v>
      </c>
      <c r="D498" s="3" t="str">
        <f t="shared" si="2"/>
        <v>NIVE</v>
      </c>
      <c r="E498" s="3" t="str">
        <f t="shared" si="3"/>
        <v>GUJARAT</v>
      </c>
      <c r="F498" s="3" t="str">
        <f t="shared" si="4"/>
        <v>SURAT</v>
      </c>
      <c r="G498" s="1" t="s">
        <v>1545</v>
      </c>
      <c r="H498" s="3" t="str">
        <f t="shared" si="5"/>
        <v>ACCESSORIES</v>
      </c>
      <c r="I498" s="3" t="str">
        <f t="shared" si="6"/>
        <v>EARRINGS</v>
      </c>
      <c r="J498" s="3">
        <f t="shared" si="7"/>
        <v>1</v>
      </c>
      <c r="K498" s="3">
        <f t="shared" si="8"/>
        <v>174</v>
      </c>
      <c r="L498" s="4">
        <f t="shared" si="9"/>
        <v>0</v>
      </c>
      <c r="M498" s="3">
        <f t="shared" si="10"/>
        <v>174</v>
      </c>
      <c r="N498" s="3">
        <f t="shared" si="11"/>
        <v>122</v>
      </c>
      <c r="O498" s="3">
        <f t="shared" si="12"/>
        <v>52</v>
      </c>
      <c r="P498" s="3" t="str">
        <f t="shared" si="13"/>
        <v>CARD</v>
      </c>
      <c r="Q498" s="3" t="str">
        <f t="shared" si="14"/>
        <v>DELIVERED</v>
      </c>
    </row>
    <row r="499">
      <c r="A499" s="1" t="s">
        <v>1546</v>
      </c>
      <c r="B499" s="2">
        <f t="shared" si="1"/>
        <v>46191</v>
      </c>
      <c r="C499" s="1" t="s">
        <v>1547</v>
      </c>
      <c r="D499" s="3" t="str">
        <f t="shared" si="2"/>
        <v>VINO</v>
      </c>
      <c r="E499" s="3" t="str">
        <f t="shared" si="3"/>
        <v>RAJASTHAN</v>
      </c>
      <c r="F499" s="3" t="str">
        <f t="shared" si="4"/>
        <v>JAIPUR</v>
      </c>
      <c r="G499" s="1" t="s">
        <v>1548</v>
      </c>
      <c r="H499" s="3" t="str">
        <f t="shared" si="5"/>
        <v>ELECTRONICS</v>
      </c>
      <c r="I499" s="3" t="str">
        <f t="shared" si="6"/>
        <v>WIRELESS EARBUDS</v>
      </c>
      <c r="J499" s="3">
        <f t="shared" si="7"/>
        <v>2</v>
      </c>
      <c r="K499" s="3">
        <f t="shared" si="8"/>
        <v>364</v>
      </c>
      <c r="L499" s="4">
        <f t="shared" si="9"/>
        <v>0</v>
      </c>
      <c r="M499" s="3">
        <f t="shared" si="10"/>
        <v>728</v>
      </c>
      <c r="N499" s="3">
        <f t="shared" si="11"/>
        <v>510</v>
      </c>
      <c r="O499" s="3">
        <f t="shared" si="12"/>
        <v>218</v>
      </c>
      <c r="P499" s="3" t="str">
        <f t="shared" si="13"/>
        <v>COD</v>
      </c>
      <c r="Q499" s="3" t="str">
        <f t="shared" si="14"/>
        <v>SHIPPED</v>
      </c>
    </row>
    <row r="500">
      <c r="A500" s="1" t="s">
        <v>1549</v>
      </c>
      <c r="B500" s="2">
        <f t="shared" si="1"/>
        <v>46059</v>
      </c>
      <c r="C500" s="1" t="s">
        <v>1550</v>
      </c>
      <c r="D500" s="3" t="str">
        <f t="shared" si="2"/>
        <v>ABI</v>
      </c>
      <c r="E500" s="3" t="str">
        <f t="shared" si="3"/>
        <v>WEST BENGAL</v>
      </c>
      <c r="F500" s="3" t="str">
        <f t="shared" si="4"/>
        <v>KOLKATA</v>
      </c>
      <c r="G500" s="1" t="s">
        <v>1551</v>
      </c>
      <c r="H500" s="3" t="str">
        <f t="shared" si="5"/>
        <v>SPORTS</v>
      </c>
      <c r="I500" s="3" t="str">
        <f t="shared" si="6"/>
        <v>FOOTBALL</v>
      </c>
      <c r="J500" s="3">
        <f t="shared" si="7"/>
        <v>5</v>
      </c>
      <c r="K500" s="3">
        <f t="shared" si="8"/>
        <v>134</v>
      </c>
      <c r="L500" s="4">
        <f t="shared" si="9"/>
        <v>0.17</v>
      </c>
      <c r="M500" s="3">
        <f t="shared" si="10"/>
        <v>556.1</v>
      </c>
      <c r="N500" s="3">
        <f t="shared" si="11"/>
        <v>389</v>
      </c>
      <c r="O500" s="3">
        <f t="shared" si="12"/>
        <v>167</v>
      </c>
      <c r="P500" s="3" t="str">
        <f t="shared" si="13"/>
        <v>NET BANKING</v>
      </c>
      <c r="Q500" s="3" t="str">
        <f t="shared" si="14"/>
        <v>CANCELLED</v>
      </c>
    </row>
    <row r="501">
      <c r="A501" s="1" t="s">
        <v>1552</v>
      </c>
      <c r="B501" s="2">
        <f t="shared" si="1"/>
        <v>46260</v>
      </c>
      <c r="C501" s="1" t="s">
        <v>1553</v>
      </c>
      <c r="D501" s="3" t="str">
        <f t="shared" si="2"/>
        <v>NIHAAR</v>
      </c>
      <c r="E501" s="3" t="str">
        <f t="shared" si="3"/>
        <v>MAGARASTRA</v>
      </c>
      <c r="F501" s="3" t="str">
        <f t="shared" si="4"/>
        <v>PUNE</v>
      </c>
      <c r="G501" s="1" t="s">
        <v>1554</v>
      </c>
      <c r="H501" s="3" t="str">
        <f t="shared" si="5"/>
        <v>FOOD</v>
      </c>
      <c r="I501" s="3" t="str">
        <f t="shared" si="6"/>
        <v>BIRIYANI</v>
      </c>
      <c r="J501" s="3">
        <f t="shared" si="7"/>
        <v>2</v>
      </c>
      <c r="K501" s="3">
        <f t="shared" si="8"/>
        <v>390</v>
      </c>
      <c r="L501" s="4">
        <f t="shared" si="9"/>
        <v>0</v>
      </c>
      <c r="M501" s="3">
        <f t="shared" si="10"/>
        <v>780</v>
      </c>
      <c r="N501" s="3">
        <f t="shared" si="11"/>
        <v>546</v>
      </c>
      <c r="O501" s="3">
        <f t="shared" si="12"/>
        <v>234</v>
      </c>
      <c r="P501" s="3" t="str">
        <f t="shared" si="13"/>
        <v>WALLET</v>
      </c>
      <c r="Q501" s="3" t="str">
        <f t="shared" si="14"/>
        <v>RETURNED</v>
      </c>
    </row>
    <row r="502">
      <c r="A502" s="1" t="s">
        <v>1555</v>
      </c>
      <c r="B502" s="2">
        <f t="shared" si="1"/>
        <v>46360</v>
      </c>
      <c r="C502" s="1" t="s">
        <v>1556</v>
      </c>
      <c r="D502" s="3" t="str">
        <f t="shared" si="2"/>
        <v>SRI</v>
      </c>
      <c r="E502" s="3" t="str">
        <f t="shared" si="3"/>
        <v>TAMILNADU</v>
      </c>
      <c r="F502" s="3" t="str">
        <f t="shared" si="4"/>
        <v>THOOTHUKUDI</v>
      </c>
      <c r="G502" s="1" t="s">
        <v>1557</v>
      </c>
      <c r="H502" s="3" t="str">
        <f t="shared" si="5"/>
        <v>DRESS</v>
      </c>
      <c r="I502" s="3" t="str">
        <f t="shared" si="6"/>
        <v>WOMEN WAERS</v>
      </c>
      <c r="J502" s="3">
        <f t="shared" si="7"/>
        <v>5</v>
      </c>
      <c r="K502" s="3">
        <f t="shared" si="8"/>
        <v>438</v>
      </c>
      <c r="L502" s="4">
        <f t="shared" si="9"/>
        <v>0.2</v>
      </c>
      <c r="M502" s="3">
        <f t="shared" si="10"/>
        <v>1752</v>
      </c>
      <c r="N502" s="3">
        <f t="shared" si="11"/>
        <v>1226</v>
      </c>
      <c r="O502" s="3">
        <f t="shared" si="12"/>
        <v>526</v>
      </c>
      <c r="P502" s="3" t="str">
        <f t="shared" si="13"/>
        <v>UPI</v>
      </c>
      <c r="Q502" s="3" t="str">
        <f t="shared" si="14"/>
        <v>DELIVERED</v>
      </c>
    </row>
    <row r="503">
      <c r="A503" s="1" t="s">
        <v>1558</v>
      </c>
      <c r="B503" s="2">
        <f t="shared" si="1"/>
        <v>46278</v>
      </c>
      <c r="C503" s="1" t="s">
        <v>1559</v>
      </c>
      <c r="D503" s="3" t="str">
        <f t="shared" si="2"/>
        <v>SHOBN</v>
      </c>
      <c r="E503" s="3" t="str">
        <f t="shared" si="3"/>
        <v>KERALA</v>
      </c>
      <c r="F503" s="3" t="str">
        <f t="shared" si="4"/>
        <v>KOCHI</v>
      </c>
      <c r="G503" s="1" t="s">
        <v>1560</v>
      </c>
      <c r="H503" s="3" t="str">
        <f t="shared" si="5"/>
        <v>BEAUTY</v>
      </c>
      <c r="I503" s="3" t="str">
        <f t="shared" si="6"/>
        <v>KAJAL</v>
      </c>
      <c r="J503" s="3">
        <f t="shared" si="7"/>
        <v>5</v>
      </c>
      <c r="K503" s="3">
        <f t="shared" si="8"/>
        <v>496</v>
      </c>
      <c r="L503" s="4">
        <f t="shared" si="9"/>
        <v>0.2</v>
      </c>
      <c r="M503" s="3">
        <f t="shared" si="10"/>
        <v>1984</v>
      </c>
      <c r="N503" s="3">
        <f t="shared" si="11"/>
        <v>1389</v>
      </c>
      <c r="O503" s="3">
        <f t="shared" si="12"/>
        <v>595</v>
      </c>
      <c r="P503" s="3" t="str">
        <f t="shared" si="13"/>
        <v>CARD</v>
      </c>
      <c r="Q503" s="3" t="str">
        <f t="shared" si="14"/>
        <v>SHIPPED</v>
      </c>
    </row>
    <row r="504">
      <c r="A504" s="1" t="s">
        <v>1561</v>
      </c>
      <c r="B504" s="2">
        <f t="shared" si="1"/>
        <v>46186</v>
      </c>
      <c r="C504" s="1" t="s">
        <v>1562</v>
      </c>
      <c r="D504" s="3" t="str">
        <f t="shared" si="2"/>
        <v>SOBI</v>
      </c>
      <c r="E504" s="3" t="str">
        <f t="shared" si="3"/>
        <v>KARNATAKA</v>
      </c>
      <c r="F504" s="3" t="str">
        <f t="shared" si="4"/>
        <v>BANGALURU</v>
      </c>
      <c r="G504" s="1" t="s">
        <v>1563</v>
      </c>
      <c r="H504" s="3" t="str">
        <f t="shared" si="5"/>
        <v>HOME &amp; KITCHEN</v>
      </c>
      <c r="I504" s="3" t="str">
        <f t="shared" si="6"/>
        <v>MIXER GRAINDER</v>
      </c>
      <c r="J504" s="3">
        <f t="shared" si="7"/>
        <v>1</v>
      </c>
      <c r="K504" s="3">
        <f t="shared" si="8"/>
        <v>167</v>
      </c>
      <c r="L504" s="4">
        <f t="shared" si="9"/>
        <v>0.1</v>
      </c>
      <c r="M504" s="3">
        <f t="shared" si="10"/>
        <v>150.3</v>
      </c>
      <c r="N504" s="3">
        <f t="shared" si="11"/>
        <v>105</v>
      </c>
      <c r="O504" s="3">
        <f t="shared" si="12"/>
        <v>45</v>
      </c>
      <c r="P504" s="3" t="str">
        <f t="shared" si="13"/>
        <v>COD</v>
      </c>
      <c r="Q504" s="3" t="str">
        <f t="shared" si="14"/>
        <v>CANCELLED</v>
      </c>
    </row>
    <row r="505">
      <c r="A505" s="1" t="s">
        <v>1564</v>
      </c>
      <c r="B505" s="2">
        <f t="shared" si="1"/>
        <v>46343</v>
      </c>
      <c r="C505" s="1" t="s">
        <v>1565</v>
      </c>
      <c r="D505" s="3" t="str">
        <f t="shared" si="2"/>
        <v>SUJI</v>
      </c>
      <c r="E505" s="3" t="str">
        <f t="shared" si="3"/>
        <v>ANDHRA PRADESH</v>
      </c>
      <c r="F505" s="3" t="str">
        <f t="shared" si="4"/>
        <v>TIRUPATI</v>
      </c>
      <c r="G505" s="1" t="s">
        <v>1566</v>
      </c>
      <c r="H505" s="3" t="str">
        <f t="shared" si="5"/>
        <v>BOOKS</v>
      </c>
      <c r="I505" s="3" t="str">
        <f t="shared" si="6"/>
        <v>LIFE OF PI</v>
      </c>
      <c r="J505" s="3">
        <f t="shared" si="7"/>
        <v>2</v>
      </c>
      <c r="K505" s="3">
        <f t="shared" si="8"/>
        <v>387</v>
      </c>
      <c r="L505" s="4">
        <f t="shared" si="9"/>
        <v>0.5</v>
      </c>
      <c r="M505" s="3">
        <f t="shared" si="10"/>
        <v>387</v>
      </c>
      <c r="N505" s="3">
        <f t="shared" si="11"/>
        <v>271</v>
      </c>
      <c r="O505" s="3">
        <f t="shared" si="12"/>
        <v>116</v>
      </c>
      <c r="P505" s="3" t="str">
        <f t="shared" si="13"/>
        <v>NET BANKING</v>
      </c>
      <c r="Q505" s="3" t="str">
        <f t="shared" si="14"/>
        <v>RETURNED</v>
      </c>
    </row>
    <row r="506">
      <c r="A506" s="1" t="s">
        <v>1567</v>
      </c>
      <c r="B506" s="2">
        <f t="shared" si="1"/>
        <v>46165</v>
      </c>
      <c r="C506" s="1" t="s">
        <v>1568</v>
      </c>
      <c r="D506" s="3" t="str">
        <f t="shared" si="2"/>
        <v>RATHA</v>
      </c>
      <c r="E506" s="3" t="str">
        <f t="shared" si="3"/>
        <v>TELUGANA</v>
      </c>
      <c r="F506" s="3" t="str">
        <f t="shared" si="4"/>
        <v>HYDERABAD</v>
      </c>
      <c r="G506" s="1" t="s">
        <v>1569</v>
      </c>
      <c r="H506" s="3" t="str">
        <f t="shared" si="5"/>
        <v>ACCESSORIES</v>
      </c>
      <c r="I506" s="3" t="str">
        <f t="shared" si="6"/>
        <v>EARRINGS</v>
      </c>
      <c r="J506" s="3">
        <f t="shared" si="7"/>
        <v>4</v>
      </c>
      <c r="K506" s="3">
        <f t="shared" si="8"/>
        <v>508</v>
      </c>
      <c r="L506" s="4">
        <f t="shared" si="9"/>
        <v>0.2</v>
      </c>
      <c r="M506" s="3">
        <f t="shared" si="10"/>
        <v>1625.6</v>
      </c>
      <c r="N506" s="3">
        <f t="shared" si="11"/>
        <v>1138</v>
      </c>
      <c r="O506" s="3">
        <f t="shared" si="12"/>
        <v>488</v>
      </c>
      <c r="P506" s="3" t="str">
        <f t="shared" si="13"/>
        <v>WALLET</v>
      </c>
      <c r="Q506" s="3" t="str">
        <f t="shared" si="14"/>
        <v>DELIVERED</v>
      </c>
    </row>
    <row r="507">
      <c r="A507" s="1" t="s">
        <v>1570</v>
      </c>
      <c r="B507" s="2">
        <f t="shared" si="1"/>
        <v>46348</v>
      </c>
      <c r="C507" s="1" t="s">
        <v>1571</v>
      </c>
      <c r="D507" s="3" t="str">
        <f t="shared" si="2"/>
        <v>SUSA</v>
      </c>
      <c r="E507" s="3" t="str">
        <f t="shared" si="3"/>
        <v>UTTHRA PRADESH</v>
      </c>
      <c r="F507" s="3" t="str">
        <f t="shared" si="4"/>
        <v>LUCKNOW</v>
      </c>
      <c r="G507" s="1" t="s">
        <v>1572</v>
      </c>
      <c r="H507" s="3" t="str">
        <f t="shared" si="5"/>
        <v>ELECTRONICS</v>
      </c>
      <c r="I507" s="3" t="str">
        <f t="shared" si="6"/>
        <v>WIRELESS EARBUDS</v>
      </c>
      <c r="J507" s="3">
        <f t="shared" si="7"/>
        <v>1</v>
      </c>
      <c r="K507" s="3">
        <f t="shared" si="8"/>
        <v>448</v>
      </c>
      <c r="L507" s="4">
        <f t="shared" si="9"/>
        <v>0.5</v>
      </c>
      <c r="M507" s="3">
        <f t="shared" si="10"/>
        <v>224</v>
      </c>
      <c r="N507" s="3">
        <f t="shared" si="11"/>
        <v>157</v>
      </c>
      <c r="O507" s="3">
        <f t="shared" si="12"/>
        <v>67</v>
      </c>
      <c r="P507" s="3" t="str">
        <f t="shared" si="13"/>
        <v>UPI</v>
      </c>
      <c r="Q507" s="3" t="str">
        <f t="shared" si="14"/>
        <v>SHIPPED</v>
      </c>
    </row>
    <row r="508">
      <c r="A508" s="1" t="s">
        <v>1573</v>
      </c>
      <c r="B508" s="2">
        <f t="shared" si="1"/>
        <v>46149</v>
      </c>
      <c r="C508" s="1" t="s">
        <v>1574</v>
      </c>
      <c r="D508" s="3" t="str">
        <f t="shared" si="2"/>
        <v>NIVE</v>
      </c>
      <c r="E508" s="3" t="str">
        <f t="shared" si="3"/>
        <v>GUJARAT</v>
      </c>
      <c r="F508" s="3" t="str">
        <f t="shared" si="4"/>
        <v>SURAT</v>
      </c>
      <c r="G508" s="1" t="s">
        <v>1575</v>
      </c>
      <c r="H508" s="3" t="str">
        <f t="shared" si="5"/>
        <v>SPORTS</v>
      </c>
      <c r="I508" s="3" t="str">
        <f t="shared" si="6"/>
        <v>FOOTBALL</v>
      </c>
      <c r="J508" s="3">
        <f t="shared" si="7"/>
        <v>1</v>
      </c>
      <c r="K508" s="3">
        <f t="shared" si="8"/>
        <v>555</v>
      </c>
      <c r="L508" s="4">
        <f t="shared" si="9"/>
        <v>0.17</v>
      </c>
      <c r="M508" s="3">
        <f t="shared" si="10"/>
        <v>460.65</v>
      </c>
      <c r="N508" s="3">
        <f t="shared" si="11"/>
        <v>322</v>
      </c>
      <c r="O508" s="3">
        <f t="shared" si="12"/>
        <v>139</v>
      </c>
      <c r="P508" s="3" t="str">
        <f t="shared" si="13"/>
        <v>CARD</v>
      </c>
      <c r="Q508" s="3" t="str">
        <f t="shared" si="14"/>
        <v>CANCELLED</v>
      </c>
    </row>
    <row r="509">
      <c r="A509" s="1" t="s">
        <v>1576</v>
      </c>
      <c r="B509" s="2">
        <f t="shared" si="1"/>
        <v>46379</v>
      </c>
      <c r="C509" s="1" t="s">
        <v>1577</v>
      </c>
      <c r="D509" s="3" t="str">
        <f t="shared" si="2"/>
        <v>VINO</v>
      </c>
      <c r="E509" s="3" t="str">
        <f t="shared" si="3"/>
        <v>RAJASTHAN</v>
      </c>
      <c r="F509" s="3" t="str">
        <f t="shared" si="4"/>
        <v>JAIPUR</v>
      </c>
      <c r="G509" s="1" t="s">
        <v>1578</v>
      </c>
      <c r="H509" s="3" t="str">
        <f t="shared" si="5"/>
        <v>FOOD</v>
      </c>
      <c r="I509" s="3" t="str">
        <f t="shared" si="6"/>
        <v>BIRIYANI</v>
      </c>
      <c r="J509" s="3">
        <f t="shared" si="7"/>
        <v>4</v>
      </c>
      <c r="K509" s="3">
        <f t="shared" si="8"/>
        <v>556</v>
      </c>
      <c r="L509" s="4">
        <f t="shared" si="9"/>
        <v>0</v>
      </c>
      <c r="M509" s="3">
        <f t="shared" si="10"/>
        <v>2224</v>
      </c>
      <c r="N509" s="3">
        <f t="shared" si="11"/>
        <v>1557</v>
      </c>
      <c r="O509" s="3">
        <f t="shared" si="12"/>
        <v>667</v>
      </c>
      <c r="P509" s="3" t="str">
        <f t="shared" si="13"/>
        <v>COD</v>
      </c>
      <c r="Q509" s="3" t="str">
        <f t="shared" si="14"/>
        <v>RETURNED</v>
      </c>
    </row>
    <row r="510">
      <c r="A510" s="1" t="s">
        <v>1579</v>
      </c>
      <c r="B510" s="2">
        <f t="shared" si="1"/>
        <v>46188</v>
      </c>
      <c r="C510" s="1" t="s">
        <v>1580</v>
      </c>
      <c r="D510" s="3" t="str">
        <f t="shared" si="2"/>
        <v>ABI</v>
      </c>
      <c r="E510" s="3" t="str">
        <f t="shared" si="3"/>
        <v>WEST BENGAL</v>
      </c>
      <c r="F510" s="3" t="str">
        <f t="shared" si="4"/>
        <v>KOLKATA</v>
      </c>
      <c r="G510" s="1" t="s">
        <v>1581</v>
      </c>
      <c r="H510" s="3" t="str">
        <f t="shared" si="5"/>
        <v>DRESS</v>
      </c>
      <c r="I510" s="3" t="str">
        <f t="shared" si="6"/>
        <v>WOMEN WAERS</v>
      </c>
      <c r="J510" s="3">
        <f t="shared" si="7"/>
        <v>3</v>
      </c>
      <c r="K510" s="3">
        <f t="shared" si="8"/>
        <v>591</v>
      </c>
      <c r="L510" s="4">
        <f t="shared" si="9"/>
        <v>0.15</v>
      </c>
      <c r="M510" s="3">
        <f t="shared" si="10"/>
        <v>1507.05</v>
      </c>
      <c r="N510" s="3">
        <f t="shared" si="11"/>
        <v>1055</v>
      </c>
      <c r="O510" s="3">
        <f t="shared" si="12"/>
        <v>452</v>
      </c>
      <c r="P510" s="3" t="str">
        <f t="shared" si="13"/>
        <v>NET BANKING</v>
      </c>
      <c r="Q510" s="3" t="str">
        <f t="shared" si="14"/>
        <v>DELIVERED</v>
      </c>
    </row>
    <row r="511">
      <c r="A511" s="1" t="s">
        <v>1582</v>
      </c>
      <c r="B511" s="2">
        <f t="shared" si="1"/>
        <v>46371</v>
      </c>
      <c r="C511" s="1" t="s">
        <v>1583</v>
      </c>
      <c r="D511" s="3" t="str">
        <f t="shared" si="2"/>
        <v>NIHAAR</v>
      </c>
      <c r="E511" s="3" t="str">
        <f t="shared" si="3"/>
        <v>MAGARASTRA</v>
      </c>
      <c r="F511" s="3" t="str">
        <f t="shared" si="4"/>
        <v>PUNE</v>
      </c>
      <c r="G511" s="1" t="s">
        <v>1584</v>
      </c>
      <c r="H511" s="3" t="str">
        <f t="shared" si="5"/>
        <v>BEAUTY</v>
      </c>
      <c r="I511" s="3" t="str">
        <f t="shared" si="6"/>
        <v>KAJAL</v>
      </c>
      <c r="J511" s="3">
        <f t="shared" si="7"/>
        <v>5</v>
      </c>
      <c r="K511" s="3">
        <f t="shared" si="8"/>
        <v>444</v>
      </c>
      <c r="L511" s="4">
        <f t="shared" si="9"/>
        <v>0</v>
      </c>
      <c r="M511" s="3">
        <f t="shared" si="10"/>
        <v>2220</v>
      </c>
      <c r="N511" s="3">
        <f t="shared" si="11"/>
        <v>1554</v>
      </c>
      <c r="O511" s="3">
        <f t="shared" si="12"/>
        <v>666</v>
      </c>
      <c r="P511" s="3" t="str">
        <f t="shared" si="13"/>
        <v>WALLET</v>
      </c>
      <c r="Q511" s="3" t="str">
        <f t="shared" si="14"/>
        <v>SHIPPED</v>
      </c>
    </row>
    <row r="512">
      <c r="A512" s="1" t="s">
        <v>1585</v>
      </c>
      <c r="B512" s="2">
        <f t="shared" si="1"/>
        <v>46072</v>
      </c>
      <c r="C512" s="1" t="s">
        <v>1586</v>
      </c>
      <c r="D512" s="3" t="str">
        <f t="shared" si="2"/>
        <v>SRI</v>
      </c>
      <c r="E512" s="3" t="str">
        <f t="shared" si="3"/>
        <v>TAMILNADU</v>
      </c>
      <c r="F512" s="3" t="str">
        <f t="shared" si="4"/>
        <v>THOOTHUKUDI</v>
      </c>
      <c r="G512" s="1" t="s">
        <v>1587</v>
      </c>
      <c r="H512" s="3" t="str">
        <f t="shared" si="5"/>
        <v>HOME &amp; KITCHEN</v>
      </c>
      <c r="I512" s="3" t="str">
        <f t="shared" si="6"/>
        <v>MIXER GRAINDER</v>
      </c>
      <c r="J512" s="3">
        <f t="shared" si="7"/>
        <v>1</v>
      </c>
      <c r="K512" s="3">
        <f t="shared" si="8"/>
        <v>187</v>
      </c>
      <c r="L512" s="4">
        <f t="shared" si="9"/>
        <v>0.5</v>
      </c>
      <c r="M512" s="3">
        <f t="shared" si="10"/>
        <v>93.5</v>
      </c>
      <c r="N512" s="3">
        <f t="shared" si="11"/>
        <v>65</v>
      </c>
      <c r="O512" s="3">
        <f t="shared" si="12"/>
        <v>29</v>
      </c>
      <c r="P512" s="3" t="str">
        <f t="shared" si="13"/>
        <v>UPI</v>
      </c>
      <c r="Q512" s="3" t="str">
        <f t="shared" si="14"/>
        <v>CANCELLED</v>
      </c>
    </row>
    <row r="513">
      <c r="A513" s="1" t="s">
        <v>1588</v>
      </c>
      <c r="B513" s="2">
        <f t="shared" si="1"/>
        <v>46199</v>
      </c>
      <c r="C513" s="1" t="s">
        <v>1589</v>
      </c>
      <c r="D513" s="3" t="str">
        <f t="shared" si="2"/>
        <v>SHOBN</v>
      </c>
      <c r="E513" s="3" t="str">
        <f t="shared" si="3"/>
        <v>KERALA</v>
      </c>
      <c r="F513" s="3" t="str">
        <f t="shared" si="4"/>
        <v>KOCHI</v>
      </c>
      <c r="G513" s="1" t="s">
        <v>1590</v>
      </c>
      <c r="H513" s="3" t="str">
        <f t="shared" si="5"/>
        <v>BOOKS</v>
      </c>
      <c r="I513" s="3" t="str">
        <f t="shared" si="6"/>
        <v>LIFE OF PI</v>
      </c>
      <c r="J513" s="3">
        <f t="shared" si="7"/>
        <v>2</v>
      </c>
      <c r="K513" s="3">
        <f t="shared" si="8"/>
        <v>507</v>
      </c>
      <c r="L513" s="4">
        <f t="shared" si="9"/>
        <v>0.15</v>
      </c>
      <c r="M513" s="3">
        <f t="shared" si="10"/>
        <v>861.9</v>
      </c>
      <c r="N513" s="3">
        <f t="shared" si="11"/>
        <v>603</v>
      </c>
      <c r="O513" s="3">
        <f t="shared" si="12"/>
        <v>259</v>
      </c>
      <c r="P513" s="3" t="str">
        <f t="shared" si="13"/>
        <v>CARD</v>
      </c>
      <c r="Q513" s="3" t="str">
        <f t="shared" si="14"/>
        <v>RETURNED</v>
      </c>
    </row>
    <row r="514">
      <c r="A514" s="1" t="s">
        <v>1591</v>
      </c>
      <c r="B514" s="2">
        <f t="shared" si="1"/>
        <v>46214</v>
      </c>
      <c r="C514" s="1" t="s">
        <v>1592</v>
      </c>
      <c r="D514" s="3" t="str">
        <f t="shared" si="2"/>
        <v>SOBI</v>
      </c>
      <c r="E514" s="3" t="str">
        <f t="shared" si="3"/>
        <v>KARNATAKA</v>
      </c>
      <c r="F514" s="3" t="str">
        <f t="shared" si="4"/>
        <v>BANGALURU</v>
      </c>
      <c r="G514" s="1" t="s">
        <v>1593</v>
      </c>
      <c r="H514" s="3" t="str">
        <f t="shared" si="5"/>
        <v>ACCESSORIES</v>
      </c>
      <c r="I514" s="3" t="str">
        <f t="shared" si="6"/>
        <v>EARRINGS</v>
      </c>
      <c r="J514" s="3">
        <f t="shared" si="7"/>
        <v>5</v>
      </c>
      <c r="K514" s="3">
        <f t="shared" si="8"/>
        <v>387</v>
      </c>
      <c r="L514" s="4">
        <f t="shared" si="9"/>
        <v>0.1</v>
      </c>
      <c r="M514" s="3">
        <f t="shared" si="10"/>
        <v>1741.5</v>
      </c>
      <c r="N514" s="3">
        <f t="shared" si="11"/>
        <v>1219</v>
      </c>
      <c r="O514" s="3">
        <f t="shared" si="12"/>
        <v>523</v>
      </c>
      <c r="P514" s="3" t="str">
        <f t="shared" si="13"/>
        <v>COD</v>
      </c>
      <c r="Q514" s="3" t="str">
        <f t="shared" si="14"/>
        <v>DELIVERED</v>
      </c>
    </row>
    <row r="515">
      <c r="A515" s="1" t="s">
        <v>1594</v>
      </c>
      <c r="B515" s="2">
        <f t="shared" si="1"/>
        <v>46364</v>
      </c>
      <c r="C515" s="1" t="s">
        <v>1595</v>
      </c>
      <c r="D515" s="3" t="str">
        <f t="shared" si="2"/>
        <v>SUJI</v>
      </c>
      <c r="E515" s="3" t="str">
        <f t="shared" si="3"/>
        <v>ANDHRA PRADESH</v>
      </c>
      <c r="F515" s="3" t="str">
        <f t="shared" si="4"/>
        <v>TIRUPATI</v>
      </c>
      <c r="G515" s="1" t="s">
        <v>1596</v>
      </c>
      <c r="H515" s="3" t="str">
        <f t="shared" si="5"/>
        <v>ELECTRONICS</v>
      </c>
      <c r="I515" s="3" t="str">
        <f t="shared" si="6"/>
        <v>WIRELESS EARBUDS</v>
      </c>
      <c r="J515" s="3">
        <f t="shared" si="7"/>
        <v>5</v>
      </c>
      <c r="K515" s="3">
        <f t="shared" si="8"/>
        <v>400</v>
      </c>
      <c r="L515" s="4">
        <f t="shared" si="9"/>
        <v>0.5</v>
      </c>
      <c r="M515" s="3">
        <f t="shared" si="10"/>
        <v>1000</v>
      </c>
      <c r="N515" s="3">
        <f t="shared" si="11"/>
        <v>700</v>
      </c>
      <c r="O515" s="3">
        <f t="shared" si="12"/>
        <v>300</v>
      </c>
      <c r="P515" s="3" t="str">
        <f t="shared" si="13"/>
        <v>NET BANKING</v>
      </c>
      <c r="Q515" s="3" t="str">
        <f t="shared" si="14"/>
        <v>SHIPPED</v>
      </c>
    </row>
    <row r="516">
      <c r="A516" s="1" t="s">
        <v>1597</v>
      </c>
      <c r="B516" s="2">
        <f t="shared" si="1"/>
        <v>46031</v>
      </c>
      <c r="C516" s="1" t="s">
        <v>1598</v>
      </c>
      <c r="D516" s="3" t="str">
        <f t="shared" si="2"/>
        <v>RATHA</v>
      </c>
      <c r="E516" s="3" t="str">
        <f t="shared" si="3"/>
        <v>TELUGANA</v>
      </c>
      <c r="F516" s="3" t="str">
        <f t="shared" si="4"/>
        <v>HYDERABAD</v>
      </c>
      <c r="G516" s="1" t="s">
        <v>1599</v>
      </c>
      <c r="H516" s="3" t="str">
        <f t="shared" si="5"/>
        <v>SPORTS</v>
      </c>
      <c r="I516" s="3" t="str">
        <f t="shared" si="6"/>
        <v>FOOTBALL</v>
      </c>
      <c r="J516" s="3">
        <f t="shared" si="7"/>
        <v>1</v>
      </c>
      <c r="K516" s="3">
        <f t="shared" si="8"/>
        <v>555</v>
      </c>
      <c r="L516" s="4">
        <f t="shared" si="9"/>
        <v>0.1</v>
      </c>
      <c r="M516" s="3">
        <f t="shared" si="10"/>
        <v>499.5</v>
      </c>
      <c r="N516" s="3">
        <f t="shared" si="11"/>
        <v>350</v>
      </c>
      <c r="O516" s="3">
        <f t="shared" si="12"/>
        <v>150</v>
      </c>
      <c r="P516" s="3" t="str">
        <f t="shared" si="13"/>
        <v>WALLET</v>
      </c>
      <c r="Q516" s="3" t="str">
        <f t="shared" si="14"/>
        <v>CANCELLED</v>
      </c>
    </row>
    <row r="517">
      <c r="A517" s="1" t="s">
        <v>1600</v>
      </c>
      <c r="B517" s="2">
        <f t="shared" si="1"/>
        <v>46063</v>
      </c>
      <c r="C517" s="1" t="s">
        <v>1601</v>
      </c>
      <c r="D517" s="3" t="str">
        <f t="shared" si="2"/>
        <v>SUSA</v>
      </c>
      <c r="E517" s="3" t="str">
        <f t="shared" si="3"/>
        <v>UTTHRA PRADESH</v>
      </c>
      <c r="F517" s="3" t="str">
        <f t="shared" si="4"/>
        <v>LUCKNOW</v>
      </c>
      <c r="G517" s="1" t="s">
        <v>1602</v>
      </c>
      <c r="H517" s="3" t="str">
        <f t="shared" si="5"/>
        <v>FOOD</v>
      </c>
      <c r="I517" s="3" t="str">
        <f t="shared" si="6"/>
        <v>BIRIYANI</v>
      </c>
      <c r="J517" s="3">
        <f t="shared" si="7"/>
        <v>3</v>
      </c>
      <c r="K517" s="3">
        <f t="shared" si="8"/>
        <v>507</v>
      </c>
      <c r="L517" s="4">
        <f t="shared" si="9"/>
        <v>0.2</v>
      </c>
      <c r="M517" s="3">
        <f t="shared" si="10"/>
        <v>1216.8</v>
      </c>
      <c r="N517" s="3">
        <f t="shared" si="11"/>
        <v>852</v>
      </c>
      <c r="O517" s="3">
        <f t="shared" si="12"/>
        <v>365</v>
      </c>
      <c r="P517" s="3" t="str">
        <f t="shared" si="13"/>
        <v>UPI</v>
      </c>
      <c r="Q517" s="3" t="str">
        <f t="shared" si="14"/>
        <v>RETURNED</v>
      </c>
    </row>
    <row r="518">
      <c r="A518" s="1" t="s">
        <v>1603</v>
      </c>
      <c r="B518" s="2">
        <f t="shared" si="1"/>
        <v>46351</v>
      </c>
      <c r="C518" s="1" t="s">
        <v>1604</v>
      </c>
      <c r="D518" s="3" t="str">
        <f t="shared" si="2"/>
        <v>NIVE</v>
      </c>
      <c r="E518" s="3" t="str">
        <f t="shared" si="3"/>
        <v>GUJARAT</v>
      </c>
      <c r="F518" s="3" t="str">
        <f t="shared" si="4"/>
        <v>SURAT</v>
      </c>
      <c r="G518" s="1" t="s">
        <v>1605</v>
      </c>
      <c r="H518" s="3" t="str">
        <f t="shared" si="5"/>
        <v>DRESS</v>
      </c>
      <c r="I518" s="3" t="str">
        <f t="shared" si="6"/>
        <v>WOMEN WAERS</v>
      </c>
      <c r="J518" s="3">
        <f t="shared" si="7"/>
        <v>4</v>
      </c>
      <c r="K518" s="3">
        <f t="shared" si="8"/>
        <v>291</v>
      </c>
      <c r="L518" s="4">
        <f t="shared" si="9"/>
        <v>0.2</v>
      </c>
      <c r="M518" s="3">
        <f t="shared" si="10"/>
        <v>931.2</v>
      </c>
      <c r="N518" s="3">
        <f t="shared" si="11"/>
        <v>652</v>
      </c>
      <c r="O518" s="3">
        <f t="shared" si="12"/>
        <v>279</v>
      </c>
      <c r="P518" s="3" t="str">
        <f t="shared" si="13"/>
        <v>CARD</v>
      </c>
      <c r="Q518" s="3" t="str">
        <f t="shared" si="14"/>
        <v>DELIVERED</v>
      </c>
    </row>
    <row r="519">
      <c r="A519" s="1" t="s">
        <v>1606</v>
      </c>
      <c r="B519" s="2">
        <f t="shared" si="1"/>
        <v>46261</v>
      </c>
      <c r="C519" s="1" t="s">
        <v>1607</v>
      </c>
      <c r="D519" s="3" t="str">
        <f t="shared" si="2"/>
        <v>VINO</v>
      </c>
      <c r="E519" s="3" t="str">
        <f t="shared" si="3"/>
        <v>RAJASTHAN</v>
      </c>
      <c r="F519" s="3" t="str">
        <f t="shared" si="4"/>
        <v>JAIPUR</v>
      </c>
      <c r="G519" s="1" t="s">
        <v>1608</v>
      </c>
      <c r="H519" s="3" t="str">
        <f t="shared" si="5"/>
        <v>BEAUTY</v>
      </c>
      <c r="I519" s="3" t="str">
        <f t="shared" si="6"/>
        <v>KAJAL</v>
      </c>
      <c r="J519" s="3">
        <f t="shared" si="7"/>
        <v>3</v>
      </c>
      <c r="K519" s="3">
        <f t="shared" si="8"/>
        <v>290</v>
      </c>
      <c r="L519" s="4">
        <f t="shared" si="9"/>
        <v>0</v>
      </c>
      <c r="M519" s="3">
        <f t="shared" si="10"/>
        <v>870</v>
      </c>
      <c r="N519" s="3">
        <f t="shared" si="11"/>
        <v>609</v>
      </c>
      <c r="O519" s="3">
        <f t="shared" si="12"/>
        <v>261</v>
      </c>
      <c r="P519" s="3" t="str">
        <f t="shared" si="13"/>
        <v>COD</v>
      </c>
      <c r="Q519" s="3" t="str">
        <f t="shared" si="14"/>
        <v>SHIPPED</v>
      </c>
    </row>
    <row r="520">
      <c r="A520" s="1" t="s">
        <v>1609</v>
      </c>
      <c r="B520" s="2">
        <f t="shared" si="1"/>
        <v>46119</v>
      </c>
      <c r="C520" s="1" t="s">
        <v>1610</v>
      </c>
      <c r="D520" s="3" t="str">
        <f t="shared" si="2"/>
        <v>ABI</v>
      </c>
      <c r="E520" s="3" t="str">
        <f t="shared" si="3"/>
        <v>WEST BENGAL</v>
      </c>
      <c r="F520" s="3" t="str">
        <f t="shared" si="4"/>
        <v>KOLKATA</v>
      </c>
      <c r="G520" s="1" t="s">
        <v>1611</v>
      </c>
      <c r="H520" s="3" t="str">
        <f t="shared" si="5"/>
        <v>HOME &amp; KITCHEN</v>
      </c>
      <c r="I520" s="3" t="str">
        <f t="shared" si="6"/>
        <v>MIXER GRAINDER</v>
      </c>
      <c r="J520" s="3">
        <f t="shared" si="7"/>
        <v>1</v>
      </c>
      <c r="K520" s="3">
        <f t="shared" si="8"/>
        <v>573</v>
      </c>
      <c r="L520" s="4">
        <f t="shared" si="9"/>
        <v>0.1</v>
      </c>
      <c r="M520" s="3">
        <f t="shared" si="10"/>
        <v>515.7</v>
      </c>
      <c r="N520" s="3">
        <f t="shared" si="11"/>
        <v>361</v>
      </c>
      <c r="O520" s="3">
        <f t="shared" si="12"/>
        <v>155</v>
      </c>
      <c r="P520" s="3" t="str">
        <f t="shared" si="13"/>
        <v>NET BANKING</v>
      </c>
      <c r="Q520" s="3" t="str">
        <f t="shared" si="14"/>
        <v>CANCELLED</v>
      </c>
    </row>
    <row r="521">
      <c r="A521" s="1" t="s">
        <v>1612</v>
      </c>
      <c r="B521" s="2">
        <f t="shared" si="1"/>
        <v>46093</v>
      </c>
      <c r="C521" s="1" t="s">
        <v>1613</v>
      </c>
      <c r="D521" s="3" t="str">
        <f t="shared" si="2"/>
        <v>NIHAAR</v>
      </c>
      <c r="E521" s="3" t="str">
        <f t="shared" si="3"/>
        <v>MAGARASTRA</v>
      </c>
      <c r="F521" s="3" t="str">
        <f t="shared" si="4"/>
        <v>PUNE</v>
      </c>
      <c r="G521" s="1" t="s">
        <v>1614</v>
      </c>
      <c r="H521" s="3" t="str">
        <f t="shared" si="5"/>
        <v>BOOKS</v>
      </c>
      <c r="I521" s="3" t="str">
        <f t="shared" si="6"/>
        <v>LIFE OF PI</v>
      </c>
      <c r="J521" s="3">
        <f t="shared" si="7"/>
        <v>5</v>
      </c>
      <c r="K521" s="3">
        <f t="shared" si="8"/>
        <v>350</v>
      </c>
      <c r="L521" s="4">
        <f t="shared" si="9"/>
        <v>0.1</v>
      </c>
      <c r="M521" s="3">
        <f t="shared" si="10"/>
        <v>1575</v>
      </c>
      <c r="N521" s="3">
        <f t="shared" si="11"/>
        <v>1103</v>
      </c>
      <c r="O521" s="3">
        <f t="shared" si="12"/>
        <v>472</v>
      </c>
      <c r="P521" s="3" t="str">
        <f t="shared" si="13"/>
        <v>WALLET</v>
      </c>
      <c r="Q521" s="3" t="str">
        <f t="shared" si="14"/>
        <v>RETURNED</v>
      </c>
    </row>
    <row r="522">
      <c r="A522" s="1" t="s">
        <v>1615</v>
      </c>
      <c r="B522" s="2">
        <f t="shared" si="1"/>
        <v>46230</v>
      </c>
      <c r="C522" s="1" t="s">
        <v>1616</v>
      </c>
      <c r="D522" s="3" t="str">
        <f t="shared" si="2"/>
        <v>SRI</v>
      </c>
      <c r="E522" s="3" t="str">
        <f t="shared" si="3"/>
        <v>TAMILNADU</v>
      </c>
      <c r="F522" s="3" t="str">
        <f t="shared" si="4"/>
        <v>THOOTHUKUDI</v>
      </c>
      <c r="G522" s="1" t="s">
        <v>1617</v>
      </c>
      <c r="H522" s="3" t="str">
        <f t="shared" si="5"/>
        <v>ACCESSORIES</v>
      </c>
      <c r="I522" s="3" t="str">
        <f t="shared" si="6"/>
        <v>EARRINGS</v>
      </c>
      <c r="J522" s="3">
        <f t="shared" si="7"/>
        <v>5</v>
      </c>
      <c r="K522" s="3">
        <f t="shared" si="8"/>
        <v>333</v>
      </c>
      <c r="L522" s="4">
        <f t="shared" si="9"/>
        <v>0.15</v>
      </c>
      <c r="M522" s="3">
        <f t="shared" si="10"/>
        <v>1415.25</v>
      </c>
      <c r="N522" s="3">
        <f t="shared" si="11"/>
        <v>991</v>
      </c>
      <c r="O522" s="3">
        <f t="shared" si="12"/>
        <v>424</v>
      </c>
      <c r="P522" s="3" t="str">
        <f t="shared" si="13"/>
        <v>UPI</v>
      </c>
      <c r="Q522" s="3" t="str">
        <f t="shared" si="14"/>
        <v>DELIVERED</v>
      </c>
    </row>
    <row r="523">
      <c r="A523" s="1" t="s">
        <v>1618</v>
      </c>
      <c r="B523" s="2">
        <f t="shared" si="1"/>
        <v>46056</v>
      </c>
      <c r="C523" s="1" t="s">
        <v>1619</v>
      </c>
      <c r="D523" s="3" t="str">
        <f t="shared" si="2"/>
        <v>SHOBN</v>
      </c>
      <c r="E523" s="3" t="str">
        <f t="shared" si="3"/>
        <v>KERALA</v>
      </c>
      <c r="F523" s="3" t="str">
        <f t="shared" si="4"/>
        <v>KOCHI</v>
      </c>
      <c r="G523" s="1" t="s">
        <v>1620</v>
      </c>
      <c r="H523" s="3" t="str">
        <f t="shared" si="5"/>
        <v>ELECTRONICS</v>
      </c>
      <c r="I523" s="3" t="str">
        <f t="shared" si="6"/>
        <v>WIRELESS EARBUDS</v>
      </c>
      <c r="J523" s="3">
        <f t="shared" si="7"/>
        <v>5</v>
      </c>
      <c r="K523" s="3">
        <f t="shared" si="8"/>
        <v>283</v>
      </c>
      <c r="L523" s="4">
        <f t="shared" si="9"/>
        <v>0.2</v>
      </c>
      <c r="M523" s="3">
        <f t="shared" si="10"/>
        <v>1132</v>
      </c>
      <c r="N523" s="3">
        <f t="shared" si="11"/>
        <v>792</v>
      </c>
      <c r="O523" s="3">
        <f t="shared" si="12"/>
        <v>340</v>
      </c>
      <c r="P523" s="3" t="str">
        <f t="shared" si="13"/>
        <v>CARD</v>
      </c>
      <c r="Q523" s="3" t="str">
        <f t="shared" si="14"/>
        <v>SHIPPED</v>
      </c>
    </row>
    <row r="524">
      <c r="A524" s="1" t="s">
        <v>1621</v>
      </c>
      <c r="B524" s="2">
        <f t="shared" si="1"/>
        <v>46096</v>
      </c>
      <c r="C524" s="1" t="s">
        <v>1622</v>
      </c>
      <c r="D524" s="3" t="str">
        <f t="shared" si="2"/>
        <v>SOBI</v>
      </c>
      <c r="E524" s="3" t="str">
        <f t="shared" si="3"/>
        <v>KARNATAKA</v>
      </c>
      <c r="F524" s="3" t="str">
        <f t="shared" si="4"/>
        <v>BANGALURU</v>
      </c>
      <c r="G524" s="1" t="s">
        <v>1623</v>
      </c>
      <c r="H524" s="3" t="str">
        <f t="shared" si="5"/>
        <v>SPORTS</v>
      </c>
      <c r="I524" s="3" t="str">
        <f t="shared" si="6"/>
        <v>FOOTBALL</v>
      </c>
      <c r="J524" s="3">
        <f t="shared" si="7"/>
        <v>2</v>
      </c>
      <c r="K524" s="3">
        <f t="shared" si="8"/>
        <v>285</v>
      </c>
      <c r="L524" s="4">
        <f t="shared" si="9"/>
        <v>0.17</v>
      </c>
      <c r="M524" s="3">
        <f t="shared" si="10"/>
        <v>473.1</v>
      </c>
      <c r="N524" s="3">
        <f t="shared" si="11"/>
        <v>331</v>
      </c>
      <c r="O524" s="3">
        <f t="shared" si="12"/>
        <v>142</v>
      </c>
      <c r="P524" s="3" t="str">
        <f t="shared" si="13"/>
        <v>COD</v>
      </c>
      <c r="Q524" s="3" t="str">
        <f t="shared" si="14"/>
        <v>CANCELLED</v>
      </c>
    </row>
    <row r="525">
      <c r="A525" s="1" t="s">
        <v>1624</v>
      </c>
      <c r="B525" s="2">
        <f t="shared" si="1"/>
        <v>46188</v>
      </c>
      <c r="C525" s="1" t="s">
        <v>1625</v>
      </c>
      <c r="D525" s="3" t="str">
        <f t="shared" si="2"/>
        <v>SUJI</v>
      </c>
      <c r="E525" s="3" t="str">
        <f t="shared" si="3"/>
        <v>ANDHRA PRADESH</v>
      </c>
      <c r="F525" s="3" t="str">
        <f t="shared" si="4"/>
        <v>TIRUPATI</v>
      </c>
      <c r="G525" s="1" t="s">
        <v>1626</v>
      </c>
      <c r="H525" s="3" t="str">
        <f t="shared" si="5"/>
        <v>FOOD</v>
      </c>
      <c r="I525" s="3" t="str">
        <f t="shared" si="6"/>
        <v>BIRIYANI</v>
      </c>
      <c r="J525" s="3">
        <f t="shared" si="7"/>
        <v>3</v>
      </c>
      <c r="K525" s="3">
        <f t="shared" si="8"/>
        <v>407</v>
      </c>
      <c r="L525" s="4">
        <f t="shared" si="9"/>
        <v>0.17</v>
      </c>
      <c r="M525" s="3">
        <f t="shared" si="10"/>
        <v>1013.43</v>
      </c>
      <c r="N525" s="3">
        <f t="shared" si="11"/>
        <v>709</v>
      </c>
      <c r="O525" s="3">
        <f t="shared" si="12"/>
        <v>304</v>
      </c>
      <c r="P525" s="3" t="str">
        <f t="shared" si="13"/>
        <v>NET BANKING</v>
      </c>
      <c r="Q525" s="3" t="str">
        <f t="shared" si="14"/>
        <v>RETURNED</v>
      </c>
    </row>
    <row r="526">
      <c r="A526" s="1" t="s">
        <v>1627</v>
      </c>
      <c r="B526" s="2">
        <f t="shared" si="1"/>
        <v>46079</v>
      </c>
      <c r="C526" s="1" t="s">
        <v>1628</v>
      </c>
      <c r="D526" s="3" t="str">
        <f t="shared" si="2"/>
        <v>RATHA</v>
      </c>
      <c r="E526" s="3" t="str">
        <f t="shared" si="3"/>
        <v>TELUGANA</v>
      </c>
      <c r="F526" s="3" t="str">
        <f t="shared" si="4"/>
        <v>HYDERABAD</v>
      </c>
      <c r="G526" s="1" t="s">
        <v>1629</v>
      </c>
      <c r="H526" s="3" t="str">
        <f t="shared" si="5"/>
        <v>DRESS</v>
      </c>
      <c r="I526" s="3" t="str">
        <f t="shared" si="6"/>
        <v>WOMEN WAERS</v>
      </c>
      <c r="J526" s="3">
        <f t="shared" si="7"/>
        <v>5</v>
      </c>
      <c r="K526" s="3">
        <f t="shared" si="8"/>
        <v>489</v>
      </c>
      <c r="L526" s="4">
        <f t="shared" si="9"/>
        <v>0.15</v>
      </c>
      <c r="M526" s="3">
        <f t="shared" si="10"/>
        <v>2078.25</v>
      </c>
      <c r="N526" s="3">
        <f t="shared" si="11"/>
        <v>1455</v>
      </c>
      <c r="O526" s="3">
        <f t="shared" si="12"/>
        <v>623</v>
      </c>
      <c r="P526" s="3" t="str">
        <f t="shared" si="13"/>
        <v>WALLET</v>
      </c>
      <c r="Q526" s="3" t="str">
        <f t="shared" si="14"/>
        <v>DELIVERED</v>
      </c>
    </row>
    <row r="527">
      <c r="A527" s="1" t="s">
        <v>1630</v>
      </c>
      <c r="B527" s="2">
        <f t="shared" si="1"/>
        <v>46303</v>
      </c>
      <c r="C527" s="1" t="s">
        <v>1631</v>
      </c>
      <c r="D527" s="3" t="str">
        <f t="shared" si="2"/>
        <v>SUSA</v>
      </c>
      <c r="E527" s="3" t="str">
        <f t="shared" si="3"/>
        <v>UTTHRA PRADESH</v>
      </c>
      <c r="F527" s="3" t="str">
        <f t="shared" si="4"/>
        <v>LUCKNOW</v>
      </c>
      <c r="G527" s="1" t="s">
        <v>1632</v>
      </c>
      <c r="H527" s="3" t="str">
        <f t="shared" si="5"/>
        <v>BEAUTY</v>
      </c>
      <c r="I527" s="3" t="str">
        <f t="shared" si="6"/>
        <v>KAJAL</v>
      </c>
      <c r="J527" s="3">
        <f t="shared" si="7"/>
        <v>3</v>
      </c>
      <c r="K527" s="3">
        <f t="shared" si="8"/>
        <v>327</v>
      </c>
      <c r="L527" s="4">
        <f t="shared" si="9"/>
        <v>0.15</v>
      </c>
      <c r="M527" s="3">
        <f t="shared" si="10"/>
        <v>833.85</v>
      </c>
      <c r="N527" s="3">
        <f t="shared" si="11"/>
        <v>584</v>
      </c>
      <c r="O527" s="3">
        <f t="shared" si="12"/>
        <v>250</v>
      </c>
      <c r="P527" s="3" t="str">
        <f t="shared" si="13"/>
        <v>UPI</v>
      </c>
      <c r="Q527" s="3" t="str">
        <f t="shared" si="14"/>
        <v>SHIPPED</v>
      </c>
    </row>
    <row r="528">
      <c r="A528" s="1" t="s">
        <v>1633</v>
      </c>
      <c r="B528" s="2">
        <f t="shared" si="1"/>
        <v>46260</v>
      </c>
      <c r="C528" s="1" t="s">
        <v>1634</v>
      </c>
      <c r="D528" s="3" t="str">
        <f t="shared" si="2"/>
        <v>NIVE</v>
      </c>
      <c r="E528" s="3" t="str">
        <f t="shared" si="3"/>
        <v>GUJARAT</v>
      </c>
      <c r="F528" s="3" t="str">
        <f t="shared" si="4"/>
        <v>SURAT</v>
      </c>
      <c r="G528" s="1" t="s">
        <v>1635</v>
      </c>
      <c r="H528" s="3" t="str">
        <f t="shared" si="5"/>
        <v>HOME &amp; KITCHEN</v>
      </c>
      <c r="I528" s="3" t="str">
        <f t="shared" si="6"/>
        <v>MIXER GRAINDER</v>
      </c>
      <c r="J528" s="3">
        <f t="shared" si="7"/>
        <v>4</v>
      </c>
      <c r="K528" s="3">
        <f t="shared" si="8"/>
        <v>498</v>
      </c>
      <c r="L528" s="4">
        <f t="shared" si="9"/>
        <v>0.1</v>
      </c>
      <c r="M528" s="3">
        <f t="shared" si="10"/>
        <v>1792.8</v>
      </c>
      <c r="N528" s="3">
        <f t="shared" si="11"/>
        <v>1255</v>
      </c>
      <c r="O528" s="3">
        <f t="shared" si="12"/>
        <v>538</v>
      </c>
      <c r="P528" s="3" t="str">
        <f t="shared" si="13"/>
        <v>CARD</v>
      </c>
      <c r="Q528" s="3" t="str">
        <f t="shared" si="14"/>
        <v>CANCELLED</v>
      </c>
    </row>
    <row r="529">
      <c r="A529" s="1" t="s">
        <v>1636</v>
      </c>
      <c r="B529" s="2">
        <f t="shared" si="1"/>
        <v>46180</v>
      </c>
      <c r="C529" s="1" t="s">
        <v>1637</v>
      </c>
      <c r="D529" s="3" t="str">
        <f t="shared" si="2"/>
        <v>VINO</v>
      </c>
      <c r="E529" s="3" t="str">
        <f t="shared" si="3"/>
        <v>RAJASTHAN</v>
      </c>
      <c r="F529" s="3" t="str">
        <f t="shared" si="4"/>
        <v>JAIPUR</v>
      </c>
      <c r="G529" s="1" t="s">
        <v>1638</v>
      </c>
      <c r="H529" s="3" t="str">
        <f t="shared" si="5"/>
        <v>BOOKS</v>
      </c>
      <c r="I529" s="3" t="str">
        <f t="shared" si="6"/>
        <v>LIFE OF PI</v>
      </c>
      <c r="J529" s="3">
        <f t="shared" si="7"/>
        <v>4</v>
      </c>
      <c r="K529" s="3">
        <f t="shared" si="8"/>
        <v>153</v>
      </c>
      <c r="L529" s="4">
        <f t="shared" si="9"/>
        <v>0.5</v>
      </c>
      <c r="M529" s="3">
        <f t="shared" si="10"/>
        <v>306</v>
      </c>
      <c r="N529" s="3">
        <f t="shared" si="11"/>
        <v>214</v>
      </c>
      <c r="O529" s="3">
        <f t="shared" si="12"/>
        <v>92</v>
      </c>
      <c r="P529" s="3" t="str">
        <f t="shared" si="13"/>
        <v>COD</v>
      </c>
      <c r="Q529" s="3" t="str">
        <f t="shared" si="14"/>
        <v>RETURNED</v>
      </c>
    </row>
    <row r="530">
      <c r="A530" s="1" t="s">
        <v>1639</v>
      </c>
      <c r="B530" s="2">
        <f t="shared" si="1"/>
        <v>46109</v>
      </c>
      <c r="C530" s="1" t="s">
        <v>1640</v>
      </c>
      <c r="D530" s="3" t="str">
        <f t="shared" si="2"/>
        <v>ABI</v>
      </c>
      <c r="E530" s="3" t="str">
        <f t="shared" si="3"/>
        <v>WEST BENGAL</v>
      </c>
      <c r="F530" s="3" t="str">
        <f t="shared" si="4"/>
        <v>KOLKATA</v>
      </c>
      <c r="G530" s="1" t="s">
        <v>1641</v>
      </c>
      <c r="H530" s="3" t="str">
        <f t="shared" si="5"/>
        <v>ACCESSORIES</v>
      </c>
      <c r="I530" s="3" t="str">
        <f t="shared" si="6"/>
        <v>EARRINGS</v>
      </c>
      <c r="J530" s="3">
        <f t="shared" si="7"/>
        <v>1</v>
      </c>
      <c r="K530" s="3">
        <f t="shared" si="8"/>
        <v>263</v>
      </c>
      <c r="L530" s="4">
        <f t="shared" si="9"/>
        <v>0</v>
      </c>
      <c r="M530" s="3">
        <f t="shared" si="10"/>
        <v>263</v>
      </c>
      <c r="N530" s="3">
        <f t="shared" si="11"/>
        <v>184</v>
      </c>
      <c r="O530" s="3">
        <f t="shared" si="12"/>
        <v>79</v>
      </c>
      <c r="P530" s="3" t="str">
        <f t="shared" si="13"/>
        <v>NET BANKING</v>
      </c>
      <c r="Q530" s="3" t="str">
        <f t="shared" si="14"/>
        <v>DELIVERED</v>
      </c>
    </row>
    <row r="531">
      <c r="A531" s="1" t="s">
        <v>1642</v>
      </c>
      <c r="B531" s="2">
        <f t="shared" si="1"/>
        <v>46307</v>
      </c>
      <c r="C531" s="1" t="s">
        <v>1643</v>
      </c>
      <c r="D531" s="3" t="str">
        <f t="shared" si="2"/>
        <v>NIHAAR</v>
      </c>
      <c r="E531" s="3" t="str">
        <f t="shared" si="3"/>
        <v>MAGARASTRA</v>
      </c>
      <c r="F531" s="3" t="str">
        <f t="shared" si="4"/>
        <v>PUNE</v>
      </c>
      <c r="G531" s="1" t="s">
        <v>1644</v>
      </c>
      <c r="H531" s="3" t="str">
        <f t="shared" si="5"/>
        <v>ELECTRONICS</v>
      </c>
      <c r="I531" s="3" t="str">
        <f t="shared" si="6"/>
        <v>WIRELESS EARBUDS</v>
      </c>
      <c r="J531" s="3">
        <f t="shared" si="7"/>
        <v>3</v>
      </c>
      <c r="K531" s="3">
        <f t="shared" si="8"/>
        <v>138</v>
      </c>
      <c r="L531" s="4">
        <f t="shared" si="9"/>
        <v>0.17</v>
      </c>
      <c r="M531" s="3">
        <f t="shared" si="10"/>
        <v>343.62</v>
      </c>
      <c r="N531" s="3">
        <f t="shared" si="11"/>
        <v>241</v>
      </c>
      <c r="O531" s="3">
        <f t="shared" si="12"/>
        <v>103</v>
      </c>
      <c r="P531" s="3" t="str">
        <f t="shared" si="13"/>
        <v>WALLET</v>
      </c>
      <c r="Q531" s="3" t="str">
        <f t="shared" si="14"/>
        <v>SHIPPED</v>
      </c>
    </row>
    <row r="532">
      <c r="A532" s="1" t="s">
        <v>1645</v>
      </c>
      <c r="B532" s="2">
        <f t="shared" si="1"/>
        <v>46253</v>
      </c>
      <c r="C532" s="1" t="s">
        <v>1646</v>
      </c>
      <c r="D532" s="3" t="str">
        <f t="shared" si="2"/>
        <v>SRI</v>
      </c>
      <c r="E532" s="3" t="str">
        <f t="shared" si="3"/>
        <v>TAMILNADU</v>
      </c>
      <c r="F532" s="3" t="str">
        <f t="shared" si="4"/>
        <v>THOOTHUKUDI</v>
      </c>
      <c r="G532" s="1" t="s">
        <v>1647</v>
      </c>
      <c r="H532" s="3" t="str">
        <f t="shared" si="5"/>
        <v>SPORTS</v>
      </c>
      <c r="I532" s="3" t="str">
        <f t="shared" si="6"/>
        <v>FOOTBALL</v>
      </c>
      <c r="J532" s="3">
        <f t="shared" si="7"/>
        <v>3</v>
      </c>
      <c r="K532" s="3">
        <f t="shared" si="8"/>
        <v>533</v>
      </c>
      <c r="L532" s="4">
        <f t="shared" si="9"/>
        <v>0.15</v>
      </c>
      <c r="M532" s="3">
        <f t="shared" si="10"/>
        <v>1359.15</v>
      </c>
      <c r="N532" s="3">
        <f t="shared" si="11"/>
        <v>951</v>
      </c>
      <c r="O532" s="3">
        <f t="shared" si="12"/>
        <v>408</v>
      </c>
      <c r="P532" s="3" t="str">
        <f t="shared" si="13"/>
        <v>UPI</v>
      </c>
      <c r="Q532" s="3" t="str">
        <f t="shared" si="14"/>
        <v>CANCELLED</v>
      </c>
    </row>
    <row r="533">
      <c r="A533" s="1" t="s">
        <v>1648</v>
      </c>
      <c r="B533" s="2">
        <f t="shared" si="1"/>
        <v>46321</v>
      </c>
      <c r="C533" s="1" t="s">
        <v>1649</v>
      </c>
      <c r="D533" s="3" t="str">
        <f t="shared" si="2"/>
        <v>SHOBN</v>
      </c>
      <c r="E533" s="3" t="str">
        <f t="shared" si="3"/>
        <v>KERALA</v>
      </c>
      <c r="F533" s="3" t="str">
        <f t="shared" si="4"/>
        <v>KOCHI</v>
      </c>
      <c r="G533" s="1" t="s">
        <v>1650</v>
      </c>
      <c r="H533" s="3" t="str">
        <f t="shared" si="5"/>
        <v>FOOD</v>
      </c>
      <c r="I533" s="3" t="str">
        <f t="shared" si="6"/>
        <v>BIRIYANI</v>
      </c>
      <c r="J533" s="3">
        <f t="shared" si="7"/>
        <v>2</v>
      </c>
      <c r="K533" s="3">
        <f t="shared" si="8"/>
        <v>394</v>
      </c>
      <c r="L533" s="4">
        <f t="shared" si="9"/>
        <v>0.2</v>
      </c>
      <c r="M533" s="3">
        <f t="shared" si="10"/>
        <v>630.4</v>
      </c>
      <c r="N533" s="3">
        <f t="shared" si="11"/>
        <v>441</v>
      </c>
      <c r="O533" s="3">
        <f t="shared" si="12"/>
        <v>189</v>
      </c>
      <c r="P533" s="3" t="str">
        <f t="shared" si="13"/>
        <v>CARD</v>
      </c>
      <c r="Q533" s="3" t="str">
        <f t="shared" si="14"/>
        <v>RETURNED</v>
      </c>
    </row>
    <row r="534">
      <c r="A534" s="1" t="s">
        <v>1651</v>
      </c>
      <c r="B534" s="2">
        <f t="shared" si="1"/>
        <v>46075</v>
      </c>
      <c r="C534" s="1" t="s">
        <v>1652</v>
      </c>
      <c r="D534" s="3" t="str">
        <f t="shared" si="2"/>
        <v>SOBI</v>
      </c>
      <c r="E534" s="3" t="str">
        <f t="shared" si="3"/>
        <v>KARNATAKA</v>
      </c>
      <c r="F534" s="3" t="str">
        <f t="shared" si="4"/>
        <v>BANGALURU</v>
      </c>
      <c r="G534" s="1" t="s">
        <v>1653</v>
      </c>
      <c r="H534" s="3" t="str">
        <f t="shared" si="5"/>
        <v>DRESS</v>
      </c>
      <c r="I534" s="3" t="str">
        <f t="shared" si="6"/>
        <v>WOMEN WAERS</v>
      </c>
      <c r="J534" s="3">
        <f t="shared" si="7"/>
        <v>5</v>
      </c>
      <c r="K534" s="3">
        <f t="shared" si="8"/>
        <v>527</v>
      </c>
      <c r="L534" s="4">
        <f t="shared" si="9"/>
        <v>0</v>
      </c>
      <c r="M534" s="3">
        <f t="shared" si="10"/>
        <v>2635</v>
      </c>
      <c r="N534" s="3">
        <f t="shared" si="11"/>
        <v>1845</v>
      </c>
      <c r="O534" s="3">
        <f t="shared" si="12"/>
        <v>790</v>
      </c>
      <c r="P534" s="3" t="str">
        <f t="shared" si="13"/>
        <v>COD</v>
      </c>
      <c r="Q534" s="3" t="str">
        <f t="shared" si="14"/>
        <v>DELIVERED</v>
      </c>
    </row>
    <row r="535">
      <c r="A535" s="1" t="s">
        <v>1654</v>
      </c>
      <c r="B535" s="2">
        <f t="shared" si="1"/>
        <v>46332</v>
      </c>
      <c r="C535" s="1" t="s">
        <v>1655</v>
      </c>
      <c r="D535" s="3" t="str">
        <f t="shared" si="2"/>
        <v>SUJI</v>
      </c>
      <c r="E535" s="3" t="str">
        <f t="shared" si="3"/>
        <v>ANDHRA PRADESH</v>
      </c>
      <c r="F535" s="3" t="str">
        <f t="shared" si="4"/>
        <v>TIRUPATI</v>
      </c>
      <c r="G535" s="1" t="s">
        <v>1656</v>
      </c>
      <c r="H535" s="3" t="str">
        <f t="shared" si="5"/>
        <v>BEAUTY</v>
      </c>
      <c r="I535" s="3" t="str">
        <f t="shared" si="6"/>
        <v>KAJAL</v>
      </c>
      <c r="J535" s="3">
        <f t="shared" si="7"/>
        <v>1</v>
      </c>
      <c r="K535" s="3">
        <f t="shared" si="8"/>
        <v>331</v>
      </c>
      <c r="L535" s="4">
        <f t="shared" si="9"/>
        <v>0</v>
      </c>
      <c r="M535" s="3">
        <f t="shared" si="10"/>
        <v>331</v>
      </c>
      <c r="N535" s="3">
        <f t="shared" si="11"/>
        <v>232</v>
      </c>
      <c r="O535" s="3">
        <f t="shared" si="12"/>
        <v>99</v>
      </c>
      <c r="P535" s="3" t="str">
        <f t="shared" si="13"/>
        <v>NET BANKING</v>
      </c>
      <c r="Q535" s="3" t="str">
        <f t="shared" si="14"/>
        <v>SHIPPED</v>
      </c>
    </row>
    <row r="536">
      <c r="A536" s="1" t="s">
        <v>1657</v>
      </c>
      <c r="B536" s="2">
        <f t="shared" si="1"/>
        <v>46360</v>
      </c>
      <c r="C536" s="1" t="s">
        <v>1658</v>
      </c>
      <c r="D536" s="3" t="str">
        <f t="shared" si="2"/>
        <v>RATHA</v>
      </c>
      <c r="E536" s="3" t="str">
        <f t="shared" si="3"/>
        <v>TELUGANA</v>
      </c>
      <c r="F536" s="3" t="str">
        <f t="shared" si="4"/>
        <v>HYDERABAD</v>
      </c>
      <c r="G536" s="1" t="s">
        <v>1659</v>
      </c>
      <c r="H536" s="3" t="str">
        <f t="shared" si="5"/>
        <v>HOME &amp; KITCHEN</v>
      </c>
      <c r="I536" s="3" t="str">
        <f t="shared" si="6"/>
        <v>MIXER GRAINDER</v>
      </c>
      <c r="J536" s="3">
        <f t="shared" si="7"/>
        <v>5</v>
      </c>
      <c r="K536" s="3">
        <f t="shared" si="8"/>
        <v>493</v>
      </c>
      <c r="L536" s="4">
        <f t="shared" si="9"/>
        <v>0.1</v>
      </c>
      <c r="M536" s="3">
        <f t="shared" si="10"/>
        <v>2218.5</v>
      </c>
      <c r="N536" s="3">
        <f t="shared" si="11"/>
        <v>1553</v>
      </c>
      <c r="O536" s="3">
        <f t="shared" si="12"/>
        <v>666</v>
      </c>
      <c r="P536" s="3" t="str">
        <f t="shared" si="13"/>
        <v>WALLET</v>
      </c>
      <c r="Q536" s="3" t="str">
        <f t="shared" si="14"/>
        <v>CANCELLED</v>
      </c>
    </row>
    <row r="537">
      <c r="A537" s="1" t="s">
        <v>1660</v>
      </c>
      <c r="B537" s="2">
        <f t="shared" si="1"/>
        <v>46370</v>
      </c>
      <c r="C537" s="1" t="s">
        <v>1661</v>
      </c>
      <c r="D537" s="3" t="str">
        <f t="shared" si="2"/>
        <v>SUSA</v>
      </c>
      <c r="E537" s="3" t="str">
        <f t="shared" si="3"/>
        <v>UTTHRA PRADESH</v>
      </c>
      <c r="F537" s="3" t="str">
        <f t="shared" si="4"/>
        <v>LUCKNOW</v>
      </c>
      <c r="G537" s="1" t="s">
        <v>1662</v>
      </c>
      <c r="H537" s="3" t="str">
        <f t="shared" si="5"/>
        <v>BOOKS</v>
      </c>
      <c r="I537" s="3" t="str">
        <f t="shared" si="6"/>
        <v>LIFE OF PI</v>
      </c>
      <c r="J537" s="3">
        <f t="shared" si="7"/>
        <v>2</v>
      </c>
      <c r="K537" s="3">
        <f t="shared" si="8"/>
        <v>205</v>
      </c>
      <c r="L537" s="4">
        <f t="shared" si="9"/>
        <v>0.5</v>
      </c>
      <c r="M537" s="3">
        <f t="shared" si="10"/>
        <v>205</v>
      </c>
      <c r="N537" s="3">
        <f t="shared" si="11"/>
        <v>144</v>
      </c>
      <c r="O537" s="3">
        <f t="shared" si="12"/>
        <v>61</v>
      </c>
      <c r="P537" s="3" t="str">
        <f t="shared" si="13"/>
        <v>UPI</v>
      </c>
      <c r="Q537" s="3" t="str">
        <f t="shared" si="14"/>
        <v>RETURNED</v>
      </c>
    </row>
    <row r="538">
      <c r="A538" s="1" t="s">
        <v>1663</v>
      </c>
      <c r="B538" s="2">
        <f t="shared" si="1"/>
        <v>46165</v>
      </c>
      <c r="C538" s="1" t="s">
        <v>1664</v>
      </c>
      <c r="D538" s="3" t="str">
        <f t="shared" si="2"/>
        <v>NIVE</v>
      </c>
      <c r="E538" s="3" t="str">
        <f t="shared" si="3"/>
        <v>GUJARAT</v>
      </c>
      <c r="F538" s="3" t="str">
        <f t="shared" si="4"/>
        <v>SURAT</v>
      </c>
      <c r="G538" s="1" t="s">
        <v>1665</v>
      </c>
      <c r="H538" s="3" t="str">
        <f t="shared" si="5"/>
        <v>ACCESSORIES</v>
      </c>
      <c r="I538" s="3" t="str">
        <f t="shared" si="6"/>
        <v>EARRINGS</v>
      </c>
      <c r="J538" s="3">
        <f t="shared" si="7"/>
        <v>2</v>
      </c>
      <c r="K538" s="3">
        <f t="shared" si="8"/>
        <v>597</v>
      </c>
      <c r="L538" s="4">
        <f t="shared" si="9"/>
        <v>0.17</v>
      </c>
      <c r="M538" s="3">
        <f t="shared" si="10"/>
        <v>991.02</v>
      </c>
      <c r="N538" s="3">
        <f t="shared" si="11"/>
        <v>694</v>
      </c>
      <c r="O538" s="3">
        <f t="shared" si="12"/>
        <v>297</v>
      </c>
      <c r="P538" s="3" t="str">
        <f t="shared" si="13"/>
        <v>CARD</v>
      </c>
      <c r="Q538" s="3" t="str">
        <f t="shared" si="14"/>
        <v>DELIVERED</v>
      </c>
    </row>
    <row r="539">
      <c r="A539" s="1" t="s">
        <v>1666</v>
      </c>
      <c r="B539" s="2">
        <f t="shared" si="1"/>
        <v>46129</v>
      </c>
      <c r="C539" s="1" t="s">
        <v>1667</v>
      </c>
      <c r="D539" s="3" t="str">
        <f t="shared" si="2"/>
        <v>VINO</v>
      </c>
      <c r="E539" s="3" t="str">
        <f t="shared" si="3"/>
        <v>RAJASTHAN</v>
      </c>
      <c r="F539" s="3" t="str">
        <f t="shared" si="4"/>
        <v>JAIPUR</v>
      </c>
      <c r="G539" s="1" t="s">
        <v>1668</v>
      </c>
      <c r="H539" s="3" t="str">
        <f t="shared" si="5"/>
        <v>ELECTRONICS</v>
      </c>
      <c r="I539" s="3" t="str">
        <f t="shared" si="6"/>
        <v>WIRELESS EARBUDS</v>
      </c>
      <c r="J539" s="3">
        <f t="shared" si="7"/>
        <v>4</v>
      </c>
      <c r="K539" s="3">
        <f t="shared" si="8"/>
        <v>224</v>
      </c>
      <c r="L539" s="4">
        <f t="shared" si="9"/>
        <v>0</v>
      </c>
      <c r="M539" s="3">
        <f t="shared" si="10"/>
        <v>896</v>
      </c>
      <c r="N539" s="3">
        <f t="shared" si="11"/>
        <v>627</v>
      </c>
      <c r="O539" s="3">
        <f t="shared" si="12"/>
        <v>269</v>
      </c>
      <c r="P539" s="3" t="str">
        <f t="shared" si="13"/>
        <v>COD</v>
      </c>
      <c r="Q539" s="3" t="str">
        <f t="shared" si="14"/>
        <v>SHIPPED</v>
      </c>
    </row>
    <row r="540">
      <c r="A540" s="1" t="s">
        <v>1669</v>
      </c>
      <c r="B540" s="2">
        <f t="shared" si="1"/>
        <v>46032</v>
      </c>
      <c r="C540" s="1" t="s">
        <v>1670</v>
      </c>
      <c r="D540" s="3" t="str">
        <f t="shared" si="2"/>
        <v>ABI</v>
      </c>
      <c r="E540" s="3" t="str">
        <f t="shared" si="3"/>
        <v>WEST BENGAL</v>
      </c>
      <c r="F540" s="3" t="str">
        <f t="shared" si="4"/>
        <v>KOLKATA</v>
      </c>
      <c r="G540" s="1" t="s">
        <v>1671</v>
      </c>
      <c r="H540" s="3" t="str">
        <f t="shared" si="5"/>
        <v>SPORTS</v>
      </c>
      <c r="I540" s="3" t="str">
        <f t="shared" si="6"/>
        <v>FOOTBALL</v>
      </c>
      <c r="J540" s="3">
        <f t="shared" si="7"/>
        <v>3</v>
      </c>
      <c r="K540" s="3">
        <f t="shared" si="8"/>
        <v>335</v>
      </c>
      <c r="L540" s="4">
        <f t="shared" si="9"/>
        <v>0.15</v>
      </c>
      <c r="M540" s="3">
        <f t="shared" si="10"/>
        <v>854.25</v>
      </c>
      <c r="N540" s="3">
        <f t="shared" si="11"/>
        <v>598</v>
      </c>
      <c r="O540" s="3">
        <f t="shared" si="12"/>
        <v>256</v>
      </c>
      <c r="P540" s="3" t="str">
        <f t="shared" si="13"/>
        <v>NET BANKING</v>
      </c>
      <c r="Q540" s="3" t="str">
        <f t="shared" si="14"/>
        <v>CANCELLED</v>
      </c>
    </row>
    <row r="541">
      <c r="A541" s="1" t="s">
        <v>1672</v>
      </c>
      <c r="B541" s="2">
        <f t="shared" si="1"/>
        <v>46290</v>
      </c>
      <c r="C541" s="1" t="s">
        <v>1673</v>
      </c>
      <c r="D541" s="3" t="str">
        <f t="shared" si="2"/>
        <v>NIHAAR</v>
      </c>
      <c r="E541" s="3" t="str">
        <f t="shared" si="3"/>
        <v>MAGARASTRA</v>
      </c>
      <c r="F541" s="3" t="str">
        <f t="shared" si="4"/>
        <v>PUNE</v>
      </c>
      <c r="G541" s="1" t="s">
        <v>1674</v>
      </c>
      <c r="H541" s="3" t="str">
        <f t="shared" si="5"/>
        <v>FOOD</v>
      </c>
      <c r="I541" s="3" t="str">
        <f t="shared" si="6"/>
        <v>BIRIYANI</v>
      </c>
      <c r="J541" s="3">
        <f t="shared" si="7"/>
        <v>4</v>
      </c>
      <c r="K541" s="3">
        <f t="shared" si="8"/>
        <v>531</v>
      </c>
      <c r="L541" s="4">
        <f t="shared" si="9"/>
        <v>0.1</v>
      </c>
      <c r="M541" s="3">
        <f t="shared" si="10"/>
        <v>1911.6</v>
      </c>
      <c r="N541" s="3">
        <f t="shared" si="11"/>
        <v>1338</v>
      </c>
      <c r="O541" s="3">
        <f t="shared" si="12"/>
        <v>574</v>
      </c>
      <c r="P541" s="3" t="str">
        <f t="shared" si="13"/>
        <v>WALLET</v>
      </c>
      <c r="Q541" s="3" t="str">
        <f t="shared" si="14"/>
        <v>RETURNED</v>
      </c>
    </row>
    <row r="542">
      <c r="A542" s="1" t="s">
        <v>1675</v>
      </c>
      <c r="B542" s="2">
        <f t="shared" si="1"/>
        <v>46198</v>
      </c>
      <c r="C542" s="1" t="s">
        <v>1676</v>
      </c>
      <c r="D542" s="3" t="str">
        <f t="shared" si="2"/>
        <v>SRI</v>
      </c>
      <c r="E542" s="3" t="str">
        <f t="shared" si="3"/>
        <v>TAMILNADU</v>
      </c>
      <c r="F542" s="3" t="str">
        <f t="shared" si="4"/>
        <v>THOOTHUKUDI</v>
      </c>
      <c r="G542" s="1" t="s">
        <v>1677</v>
      </c>
      <c r="H542" s="3" t="str">
        <f t="shared" si="5"/>
        <v>DRESS</v>
      </c>
      <c r="I542" s="3" t="str">
        <f t="shared" si="6"/>
        <v>WOMEN WAERS</v>
      </c>
      <c r="J542" s="3">
        <f t="shared" si="7"/>
        <v>2</v>
      </c>
      <c r="K542" s="3">
        <f t="shared" si="8"/>
        <v>437</v>
      </c>
      <c r="L542" s="4">
        <f t="shared" si="9"/>
        <v>0.2</v>
      </c>
      <c r="M542" s="3">
        <f t="shared" si="10"/>
        <v>699.2</v>
      </c>
      <c r="N542" s="3">
        <f t="shared" si="11"/>
        <v>489</v>
      </c>
      <c r="O542" s="3">
        <f t="shared" si="12"/>
        <v>210</v>
      </c>
      <c r="P542" s="3" t="str">
        <f t="shared" si="13"/>
        <v>UPI</v>
      </c>
      <c r="Q542" s="3" t="str">
        <f t="shared" si="14"/>
        <v>DELIVERED</v>
      </c>
    </row>
    <row r="543">
      <c r="A543" s="1" t="s">
        <v>1678</v>
      </c>
      <c r="B543" s="2">
        <f t="shared" si="1"/>
        <v>46224</v>
      </c>
      <c r="C543" s="1" t="s">
        <v>1679</v>
      </c>
      <c r="D543" s="3" t="str">
        <f t="shared" si="2"/>
        <v>SHOBN</v>
      </c>
      <c r="E543" s="3" t="str">
        <f t="shared" si="3"/>
        <v>KERALA</v>
      </c>
      <c r="F543" s="3" t="str">
        <f t="shared" si="4"/>
        <v>KOCHI</v>
      </c>
      <c r="G543" s="1" t="s">
        <v>1680</v>
      </c>
      <c r="H543" s="3" t="str">
        <f t="shared" si="5"/>
        <v>BEAUTY</v>
      </c>
      <c r="I543" s="3" t="str">
        <f t="shared" si="6"/>
        <v>KAJAL</v>
      </c>
      <c r="J543" s="3">
        <f t="shared" si="7"/>
        <v>1</v>
      </c>
      <c r="K543" s="3">
        <f t="shared" si="8"/>
        <v>192</v>
      </c>
      <c r="L543" s="4">
        <f t="shared" si="9"/>
        <v>0</v>
      </c>
      <c r="M543" s="3">
        <f t="shared" si="10"/>
        <v>192</v>
      </c>
      <c r="N543" s="3">
        <f t="shared" si="11"/>
        <v>134</v>
      </c>
      <c r="O543" s="3">
        <f t="shared" si="12"/>
        <v>58</v>
      </c>
      <c r="P543" s="3" t="str">
        <f t="shared" si="13"/>
        <v>CARD</v>
      </c>
      <c r="Q543" s="3" t="str">
        <f t="shared" si="14"/>
        <v>SHIPPED</v>
      </c>
    </row>
    <row r="544">
      <c r="A544" s="1" t="s">
        <v>1681</v>
      </c>
      <c r="B544" s="2">
        <f t="shared" si="1"/>
        <v>46383</v>
      </c>
      <c r="C544" s="1" t="s">
        <v>1682</v>
      </c>
      <c r="D544" s="3" t="str">
        <f t="shared" si="2"/>
        <v>SOBI</v>
      </c>
      <c r="E544" s="3" t="str">
        <f t="shared" si="3"/>
        <v>KARNATAKA</v>
      </c>
      <c r="F544" s="3" t="str">
        <f t="shared" si="4"/>
        <v>BANGALURU</v>
      </c>
      <c r="G544" s="1" t="s">
        <v>1683</v>
      </c>
      <c r="H544" s="3" t="str">
        <f t="shared" si="5"/>
        <v>HOME &amp; KITCHEN</v>
      </c>
      <c r="I544" s="3" t="str">
        <f t="shared" si="6"/>
        <v>MIXER GRAINDER</v>
      </c>
      <c r="J544" s="3">
        <f t="shared" si="7"/>
        <v>1</v>
      </c>
      <c r="K544" s="3">
        <f t="shared" si="8"/>
        <v>576</v>
      </c>
      <c r="L544" s="4">
        <f t="shared" si="9"/>
        <v>0.1</v>
      </c>
      <c r="M544" s="3">
        <f t="shared" si="10"/>
        <v>518.4</v>
      </c>
      <c r="N544" s="3">
        <f t="shared" si="11"/>
        <v>363</v>
      </c>
      <c r="O544" s="3">
        <f t="shared" si="12"/>
        <v>155</v>
      </c>
      <c r="P544" s="3" t="str">
        <f t="shared" si="13"/>
        <v>COD</v>
      </c>
      <c r="Q544" s="3" t="str">
        <f t="shared" si="14"/>
        <v>CANCELLED</v>
      </c>
    </row>
    <row r="545">
      <c r="A545" s="1" t="s">
        <v>1684</v>
      </c>
      <c r="B545" s="2">
        <f t="shared" si="1"/>
        <v>46116</v>
      </c>
      <c r="C545" s="1" t="s">
        <v>1685</v>
      </c>
      <c r="D545" s="3" t="str">
        <f t="shared" si="2"/>
        <v>SUJI</v>
      </c>
      <c r="E545" s="3" t="str">
        <f t="shared" si="3"/>
        <v>ANDHRA PRADESH</v>
      </c>
      <c r="F545" s="3" t="str">
        <f t="shared" si="4"/>
        <v>TIRUPATI</v>
      </c>
      <c r="G545" s="1" t="s">
        <v>1686</v>
      </c>
      <c r="H545" s="3" t="str">
        <f t="shared" si="5"/>
        <v>BOOKS</v>
      </c>
      <c r="I545" s="3" t="str">
        <f t="shared" si="6"/>
        <v>LIFE OF PI</v>
      </c>
      <c r="J545" s="3">
        <f t="shared" si="7"/>
        <v>2</v>
      </c>
      <c r="K545" s="3">
        <f t="shared" si="8"/>
        <v>206</v>
      </c>
      <c r="L545" s="4">
        <f t="shared" si="9"/>
        <v>0.15</v>
      </c>
      <c r="M545" s="3">
        <f t="shared" si="10"/>
        <v>350.2</v>
      </c>
      <c r="N545" s="3">
        <f t="shared" si="11"/>
        <v>245</v>
      </c>
      <c r="O545" s="3">
        <f t="shared" si="12"/>
        <v>105</v>
      </c>
      <c r="P545" s="3" t="str">
        <f t="shared" si="13"/>
        <v>NET BANKING</v>
      </c>
      <c r="Q545" s="3" t="str">
        <f t="shared" si="14"/>
        <v>RETURNED</v>
      </c>
    </row>
    <row r="546">
      <c r="A546" s="1" t="s">
        <v>1687</v>
      </c>
      <c r="B546" s="2">
        <f t="shared" si="1"/>
        <v>46152</v>
      </c>
      <c r="C546" s="1" t="s">
        <v>1688</v>
      </c>
      <c r="D546" s="3" t="str">
        <f t="shared" si="2"/>
        <v>RATHA</v>
      </c>
      <c r="E546" s="3" t="str">
        <f t="shared" si="3"/>
        <v>TELUGANA</v>
      </c>
      <c r="F546" s="3" t="str">
        <f t="shared" si="4"/>
        <v>HYDERABAD</v>
      </c>
      <c r="G546" s="1" t="s">
        <v>1689</v>
      </c>
      <c r="H546" s="3" t="str">
        <f t="shared" si="5"/>
        <v>ACCESSORIES</v>
      </c>
      <c r="I546" s="3" t="str">
        <f t="shared" si="6"/>
        <v>EARRINGS</v>
      </c>
      <c r="J546" s="3">
        <f t="shared" si="7"/>
        <v>5</v>
      </c>
      <c r="K546" s="3">
        <f t="shared" si="8"/>
        <v>151</v>
      </c>
      <c r="L546" s="4">
        <f t="shared" si="9"/>
        <v>0.1</v>
      </c>
      <c r="M546" s="3">
        <f t="shared" si="10"/>
        <v>679.5</v>
      </c>
      <c r="N546" s="3">
        <f t="shared" si="11"/>
        <v>476</v>
      </c>
      <c r="O546" s="3">
        <f t="shared" si="12"/>
        <v>204</v>
      </c>
      <c r="P546" s="3" t="str">
        <f t="shared" si="13"/>
        <v>WALLET</v>
      </c>
      <c r="Q546" s="3" t="str">
        <f t="shared" si="14"/>
        <v>DELIVERED</v>
      </c>
    </row>
    <row r="547">
      <c r="A547" s="1" t="s">
        <v>1690</v>
      </c>
      <c r="B547" s="2">
        <f t="shared" si="1"/>
        <v>46183</v>
      </c>
      <c r="C547" s="1" t="s">
        <v>1691</v>
      </c>
      <c r="D547" s="3" t="str">
        <f t="shared" si="2"/>
        <v>SUSA</v>
      </c>
      <c r="E547" s="3" t="str">
        <f t="shared" si="3"/>
        <v>UTTHRA PRADESH</v>
      </c>
      <c r="F547" s="3" t="str">
        <f t="shared" si="4"/>
        <v>LUCKNOW</v>
      </c>
      <c r="G547" s="1" t="s">
        <v>1692</v>
      </c>
      <c r="H547" s="3" t="str">
        <f t="shared" si="5"/>
        <v>ELECTRONICS</v>
      </c>
      <c r="I547" s="3" t="str">
        <f t="shared" si="6"/>
        <v>WIRELESS EARBUDS</v>
      </c>
      <c r="J547" s="3">
        <f t="shared" si="7"/>
        <v>4</v>
      </c>
      <c r="K547" s="3">
        <f t="shared" si="8"/>
        <v>235</v>
      </c>
      <c r="L547" s="4">
        <f t="shared" si="9"/>
        <v>0.2</v>
      </c>
      <c r="M547" s="3">
        <f t="shared" si="10"/>
        <v>752</v>
      </c>
      <c r="N547" s="3">
        <f t="shared" si="11"/>
        <v>526</v>
      </c>
      <c r="O547" s="3">
        <f t="shared" si="12"/>
        <v>226</v>
      </c>
      <c r="P547" s="3" t="str">
        <f t="shared" si="13"/>
        <v>UPI</v>
      </c>
      <c r="Q547" s="3" t="str">
        <f t="shared" si="14"/>
        <v>SHIPPED</v>
      </c>
    </row>
    <row r="548">
      <c r="A548" s="1" t="s">
        <v>1693</v>
      </c>
      <c r="B548" s="2">
        <f t="shared" si="1"/>
        <v>46187</v>
      </c>
      <c r="C548" s="1" t="s">
        <v>1694</v>
      </c>
      <c r="D548" s="3" t="str">
        <f t="shared" si="2"/>
        <v>NIVE</v>
      </c>
      <c r="E548" s="3" t="str">
        <f t="shared" si="3"/>
        <v>GUJARAT</v>
      </c>
      <c r="F548" s="3" t="str">
        <f t="shared" si="4"/>
        <v>SURAT</v>
      </c>
      <c r="G548" s="1" t="s">
        <v>1695</v>
      </c>
      <c r="H548" s="3" t="str">
        <f t="shared" si="5"/>
        <v>SPORTS</v>
      </c>
      <c r="I548" s="3" t="str">
        <f t="shared" si="6"/>
        <v>FOOTBALL</v>
      </c>
      <c r="J548" s="3">
        <f t="shared" si="7"/>
        <v>4</v>
      </c>
      <c r="K548" s="3">
        <f t="shared" si="8"/>
        <v>100</v>
      </c>
      <c r="L548" s="4">
        <f t="shared" si="9"/>
        <v>0.5</v>
      </c>
      <c r="M548" s="3">
        <f t="shared" si="10"/>
        <v>200</v>
      </c>
      <c r="N548" s="3">
        <f t="shared" si="11"/>
        <v>140</v>
      </c>
      <c r="O548" s="3">
        <f t="shared" si="12"/>
        <v>60</v>
      </c>
      <c r="P548" s="3" t="str">
        <f t="shared" si="13"/>
        <v>CARD</v>
      </c>
      <c r="Q548" s="3" t="str">
        <f t="shared" si="14"/>
        <v>CANCELLED</v>
      </c>
    </row>
    <row r="549">
      <c r="A549" s="1" t="s">
        <v>1696</v>
      </c>
      <c r="B549" s="2">
        <f t="shared" si="1"/>
        <v>46209</v>
      </c>
      <c r="C549" s="1" t="s">
        <v>1697</v>
      </c>
      <c r="D549" s="3" t="str">
        <f t="shared" si="2"/>
        <v>VINO</v>
      </c>
      <c r="E549" s="3" t="str">
        <f t="shared" si="3"/>
        <v>RAJASTHAN</v>
      </c>
      <c r="F549" s="3" t="str">
        <f t="shared" si="4"/>
        <v>JAIPUR</v>
      </c>
      <c r="G549" s="1" t="s">
        <v>1698</v>
      </c>
      <c r="H549" s="3" t="str">
        <f t="shared" si="5"/>
        <v>FOOD</v>
      </c>
      <c r="I549" s="3" t="str">
        <f t="shared" si="6"/>
        <v>BIRIYANI</v>
      </c>
      <c r="J549" s="3">
        <f t="shared" si="7"/>
        <v>2</v>
      </c>
      <c r="K549" s="3">
        <f t="shared" si="8"/>
        <v>154</v>
      </c>
      <c r="L549" s="4">
        <f t="shared" si="9"/>
        <v>0.1</v>
      </c>
      <c r="M549" s="3">
        <f t="shared" si="10"/>
        <v>277.2</v>
      </c>
      <c r="N549" s="3">
        <f t="shared" si="11"/>
        <v>194</v>
      </c>
      <c r="O549" s="3">
        <f t="shared" si="12"/>
        <v>83</v>
      </c>
      <c r="P549" s="3" t="str">
        <f t="shared" si="13"/>
        <v>COD</v>
      </c>
      <c r="Q549" s="3" t="str">
        <f t="shared" si="14"/>
        <v>RETURNED</v>
      </c>
    </row>
    <row r="550">
      <c r="A550" s="1" t="s">
        <v>1699</v>
      </c>
      <c r="B550" s="2">
        <f t="shared" si="1"/>
        <v>46330</v>
      </c>
      <c r="C550" s="1" t="s">
        <v>1700</v>
      </c>
      <c r="D550" s="3" t="str">
        <f t="shared" si="2"/>
        <v>ABI</v>
      </c>
      <c r="E550" s="3" t="str">
        <f t="shared" si="3"/>
        <v>WEST BENGAL</v>
      </c>
      <c r="F550" s="3" t="str">
        <f t="shared" si="4"/>
        <v>KOLKATA</v>
      </c>
      <c r="G550" s="1" t="s">
        <v>1701</v>
      </c>
      <c r="H550" s="3" t="str">
        <f t="shared" si="5"/>
        <v>DRESS</v>
      </c>
      <c r="I550" s="3" t="str">
        <f t="shared" si="6"/>
        <v>WOMEN WAERS</v>
      </c>
      <c r="J550" s="3">
        <f t="shared" si="7"/>
        <v>5</v>
      </c>
      <c r="K550" s="3">
        <f t="shared" si="8"/>
        <v>100</v>
      </c>
      <c r="L550" s="4">
        <f t="shared" si="9"/>
        <v>0.5</v>
      </c>
      <c r="M550" s="3">
        <f t="shared" si="10"/>
        <v>250</v>
      </c>
      <c r="N550" s="3">
        <f t="shared" si="11"/>
        <v>175</v>
      </c>
      <c r="O550" s="3">
        <f t="shared" si="12"/>
        <v>75</v>
      </c>
      <c r="P550" s="3" t="str">
        <f t="shared" si="13"/>
        <v>NET BANKING</v>
      </c>
      <c r="Q550" s="3" t="str">
        <f t="shared" si="14"/>
        <v>DELIVERED</v>
      </c>
    </row>
    <row r="551">
      <c r="A551" s="1" t="s">
        <v>1702</v>
      </c>
      <c r="B551" s="2">
        <f t="shared" si="1"/>
        <v>46103</v>
      </c>
      <c r="C551" s="1" t="s">
        <v>1703</v>
      </c>
      <c r="D551" s="3" t="str">
        <f t="shared" si="2"/>
        <v>NIHAAR</v>
      </c>
      <c r="E551" s="3" t="str">
        <f t="shared" si="3"/>
        <v>MAGARASTRA</v>
      </c>
      <c r="F551" s="3" t="str">
        <f t="shared" si="4"/>
        <v>PUNE</v>
      </c>
      <c r="G551" s="1" t="s">
        <v>1704</v>
      </c>
      <c r="H551" s="3" t="str">
        <f t="shared" si="5"/>
        <v>BEAUTY</v>
      </c>
      <c r="I551" s="3" t="str">
        <f t="shared" si="6"/>
        <v>KAJAL</v>
      </c>
      <c r="J551" s="3">
        <f t="shared" si="7"/>
        <v>5</v>
      </c>
      <c r="K551" s="3">
        <f t="shared" si="8"/>
        <v>315</v>
      </c>
      <c r="L551" s="4">
        <f t="shared" si="9"/>
        <v>0.5</v>
      </c>
      <c r="M551" s="3">
        <f t="shared" si="10"/>
        <v>787.5</v>
      </c>
      <c r="N551" s="3">
        <f t="shared" si="11"/>
        <v>551</v>
      </c>
      <c r="O551" s="3">
        <f t="shared" si="12"/>
        <v>237</v>
      </c>
      <c r="P551" s="3" t="str">
        <f t="shared" si="13"/>
        <v>WALLET</v>
      </c>
      <c r="Q551" s="3" t="str">
        <f t="shared" si="14"/>
        <v>SHIPPED</v>
      </c>
    </row>
    <row r="552">
      <c r="A552" s="1" t="s">
        <v>1705</v>
      </c>
      <c r="B552" s="2">
        <f t="shared" si="1"/>
        <v>46230</v>
      </c>
      <c r="C552" s="1" t="s">
        <v>1706</v>
      </c>
      <c r="D552" s="3" t="str">
        <f t="shared" si="2"/>
        <v>SRI</v>
      </c>
      <c r="E552" s="3" t="str">
        <f t="shared" si="3"/>
        <v>TAMILNADU</v>
      </c>
      <c r="F552" s="3" t="str">
        <f t="shared" si="4"/>
        <v>THOOTHUKUDI</v>
      </c>
      <c r="G552" s="1" t="s">
        <v>1707</v>
      </c>
      <c r="H552" s="3" t="str">
        <f t="shared" si="5"/>
        <v>HOME &amp; KITCHEN</v>
      </c>
      <c r="I552" s="3" t="str">
        <f t="shared" si="6"/>
        <v>MIXER GRAINDER</v>
      </c>
      <c r="J552" s="3">
        <f t="shared" si="7"/>
        <v>1</v>
      </c>
      <c r="K552" s="3">
        <f t="shared" si="8"/>
        <v>374</v>
      </c>
      <c r="L552" s="4">
        <f t="shared" si="9"/>
        <v>0.1</v>
      </c>
      <c r="M552" s="3">
        <f t="shared" si="10"/>
        <v>336.6</v>
      </c>
      <c r="N552" s="3">
        <f t="shared" si="11"/>
        <v>236</v>
      </c>
      <c r="O552" s="3">
        <f t="shared" si="12"/>
        <v>101</v>
      </c>
      <c r="P552" s="3" t="str">
        <f t="shared" si="13"/>
        <v>UPI</v>
      </c>
      <c r="Q552" s="3" t="str">
        <f t="shared" si="14"/>
        <v>CANCELLED</v>
      </c>
    </row>
    <row r="553">
      <c r="A553" s="1" t="s">
        <v>1708</v>
      </c>
      <c r="B553" s="2">
        <f t="shared" si="1"/>
        <v>46256</v>
      </c>
      <c r="C553" s="1" t="s">
        <v>1709</v>
      </c>
      <c r="D553" s="3" t="str">
        <f t="shared" si="2"/>
        <v>SHOBN</v>
      </c>
      <c r="E553" s="3" t="str">
        <f t="shared" si="3"/>
        <v>KERALA</v>
      </c>
      <c r="F553" s="3" t="str">
        <f t="shared" si="4"/>
        <v>KOCHI</v>
      </c>
      <c r="G553" s="1" t="s">
        <v>1710</v>
      </c>
      <c r="H553" s="3" t="str">
        <f t="shared" si="5"/>
        <v>BOOKS</v>
      </c>
      <c r="I553" s="3" t="str">
        <f t="shared" si="6"/>
        <v>LIFE OF PI</v>
      </c>
      <c r="J553" s="3">
        <f t="shared" si="7"/>
        <v>4</v>
      </c>
      <c r="K553" s="3">
        <f t="shared" si="8"/>
        <v>322</v>
      </c>
      <c r="L553" s="4">
        <f t="shared" si="9"/>
        <v>0.1</v>
      </c>
      <c r="M553" s="3">
        <f t="shared" si="10"/>
        <v>1159.2</v>
      </c>
      <c r="N553" s="3">
        <f t="shared" si="11"/>
        <v>811</v>
      </c>
      <c r="O553" s="3">
        <f t="shared" si="12"/>
        <v>348</v>
      </c>
      <c r="P553" s="3" t="str">
        <f t="shared" si="13"/>
        <v>CARD</v>
      </c>
      <c r="Q553" s="3" t="str">
        <f t="shared" si="14"/>
        <v>RETURNED</v>
      </c>
    </row>
    <row r="554">
      <c r="A554" s="1" t="s">
        <v>1711</v>
      </c>
      <c r="B554" s="2">
        <f t="shared" si="1"/>
        <v>46296</v>
      </c>
      <c r="C554" s="1" t="s">
        <v>1712</v>
      </c>
      <c r="D554" s="3" t="str">
        <f t="shared" si="2"/>
        <v>SOBI</v>
      </c>
      <c r="E554" s="3" t="str">
        <f t="shared" si="3"/>
        <v>KARNATAKA</v>
      </c>
      <c r="F554" s="3" t="str">
        <f t="shared" si="4"/>
        <v>BANGALURU</v>
      </c>
      <c r="G554" s="1" t="s">
        <v>1713</v>
      </c>
      <c r="H554" s="3" t="str">
        <f t="shared" si="5"/>
        <v>ACCESSORIES</v>
      </c>
      <c r="I554" s="3" t="str">
        <f t="shared" si="6"/>
        <v>EARRINGS</v>
      </c>
      <c r="J554" s="3">
        <f t="shared" si="7"/>
        <v>5</v>
      </c>
      <c r="K554" s="3">
        <f t="shared" si="8"/>
        <v>533</v>
      </c>
      <c r="L554" s="4">
        <f t="shared" si="9"/>
        <v>0.5</v>
      </c>
      <c r="M554" s="3">
        <f t="shared" si="10"/>
        <v>1332.5</v>
      </c>
      <c r="N554" s="3">
        <f t="shared" si="11"/>
        <v>933</v>
      </c>
      <c r="O554" s="3">
        <f t="shared" si="12"/>
        <v>400</v>
      </c>
      <c r="P554" s="3" t="str">
        <f t="shared" si="13"/>
        <v>COD</v>
      </c>
      <c r="Q554" s="3" t="str">
        <f t="shared" si="14"/>
        <v>DELIVERED</v>
      </c>
    </row>
    <row r="555">
      <c r="A555" s="1" t="s">
        <v>1714</v>
      </c>
      <c r="B555" s="2">
        <f t="shared" si="1"/>
        <v>46060</v>
      </c>
      <c r="C555" s="1" t="s">
        <v>1715</v>
      </c>
      <c r="D555" s="3" t="str">
        <f t="shared" si="2"/>
        <v>SUJI</v>
      </c>
      <c r="E555" s="3" t="str">
        <f t="shared" si="3"/>
        <v>ANDHRA PRADESH</v>
      </c>
      <c r="F555" s="3" t="str">
        <f t="shared" si="4"/>
        <v>TIRUPATI</v>
      </c>
      <c r="G555" s="1" t="s">
        <v>1716</v>
      </c>
      <c r="H555" s="3" t="str">
        <f t="shared" si="5"/>
        <v>ELECTRONICS</v>
      </c>
      <c r="I555" s="3" t="str">
        <f t="shared" si="6"/>
        <v>WIRELESS EARBUDS</v>
      </c>
      <c r="J555" s="3">
        <f t="shared" si="7"/>
        <v>4</v>
      </c>
      <c r="K555" s="3">
        <f t="shared" si="8"/>
        <v>346</v>
      </c>
      <c r="L555" s="4">
        <f t="shared" si="9"/>
        <v>0</v>
      </c>
      <c r="M555" s="3">
        <f t="shared" si="10"/>
        <v>1384</v>
      </c>
      <c r="N555" s="3">
        <f t="shared" si="11"/>
        <v>969</v>
      </c>
      <c r="O555" s="3">
        <f t="shared" si="12"/>
        <v>415</v>
      </c>
      <c r="P555" s="3" t="str">
        <f t="shared" si="13"/>
        <v>NET BANKING</v>
      </c>
      <c r="Q555" s="3" t="str">
        <f t="shared" si="14"/>
        <v>SHIPPED</v>
      </c>
    </row>
    <row r="556">
      <c r="A556" s="1" t="s">
        <v>1717</v>
      </c>
      <c r="B556" s="2">
        <f t="shared" si="1"/>
        <v>46339</v>
      </c>
      <c r="C556" s="1" t="s">
        <v>1718</v>
      </c>
      <c r="D556" s="3" t="str">
        <f t="shared" si="2"/>
        <v>RATHA</v>
      </c>
      <c r="E556" s="3" t="str">
        <f t="shared" si="3"/>
        <v>TELUGANA</v>
      </c>
      <c r="F556" s="3" t="str">
        <f t="shared" si="4"/>
        <v>HYDERABAD</v>
      </c>
      <c r="G556" s="1" t="s">
        <v>1719</v>
      </c>
      <c r="H556" s="3" t="str">
        <f t="shared" si="5"/>
        <v>SPORTS</v>
      </c>
      <c r="I556" s="3" t="str">
        <f t="shared" si="6"/>
        <v>FOOTBALL</v>
      </c>
      <c r="J556" s="3">
        <f t="shared" si="7"/>
        <v>3</v>
      </c>
      <c r="K556" s="3">
        <f t="shared" si="8"/>
        <v>265</v>
      </c>
      <c r="L556" s="4">
        <f t="shared" si="9"/>
        <v>0.5</v>
      </c>
      <c r="M556" s="3">
        <f t="shared" si="10"/>
        <v>397.5</v>
      </c>
      <c r="N556" s="3">
        <f t="shared" si="11"/>
        <v>278</v>
      </c>
      <c r="O556" s="3">
        <f t="shared" si="12"/>
        <v>120</v>
      </c>
      <c r="P556" s="3" t="str">
        <f t="shared" si="13"/>
        <v>WALLET</v>
      </c>
      <c r="Q556" s="3" t="str">
        <f t="shared" si="14"/>
        <v>CANCELLED</v>
      </c>
    </row>
    <row r="557">
      <c r="A557" s="1" t="s">
        <v>1720</v>
      </c>
      <c r="B557" s="2">
        <f t="shared" si="1"/>
        <v>46152</v>
      </c>
      <c r="C557" s="1" t="s">
        <v>1721</v>
      </c>
      <c r="D557" s="3" t="str">
        <f t="shared" si="2"/>
        <v>SUSA</v>
      </c>
      <c r="E557" s="3" t="str">
        <f t="shared" si="3"/>
        <v>UTTHRA PRADESH</v>
      </c>
      <c r="F557" s="3" t="str">
        <f t="shared" si="4"/>
        <v>LUCKNOW</v>
      </c>
      <c r="G557" s="1" t="s">
        <v>1722</v>
      </c>
      <c r="H557" s="3" t="str">
        <f t="shared" si="5"/>
        <v>FOOD</v>
      </c>
      <c r="I557" s="3" t="str">
        <f t="shared" si="6"/>
        <v>BIRIYANI</v>
      </c>
      <c r="J557" s="3">
        <f t="shared" si="7"/>
        <v>2</v>
      </c>
      <c r="K557" s="3">
        <f t="shared" si="8"/>
        <v>478</v>
      </c>
      <c r="L557" s="4">
        <f t="shared" si="9"/>
        <v>0.1</v>
      </c>
      <c r="M557" s="3">
        <f t="shared" si="10"/>
        <v>860.4</v>
      </c>
      <c r="N557" s="3">
        <f t="shared" si="11"/>
        <v>602</v>
      </c>
      <c r="O557" s="3">
        <f t="shared" si="12"/>
        <v>258</v>
      </c>
      <c r="P557" s="3" t="str">
        <f t="shared" si="13"/>
        <v>UPI</v>
      </c>
      <c r="Q557" s="3" t="str">
        <f t="shared" si="14"/>
        <v>RETURNED</v>
      </c>
    </row>
    <row r="558">
      <c r="A558" s="1" t="s">
        <v>1723</v>
      </c>
      <c r="B558" s="2">
        <f t="shared" si="1"/>
        <v>46270</v>
      </c>
      <c r="C558" s="1" t="s">
        <v>1724</v>
      </c>
      <c r="D558" s="3" t="str">
        <f t="shared" si="2"/>
        <v>NIVE</v>
      </c>
      <c r="E558" s="3" t="str">
        <f t="shared" si="3"/>
        <v>GUJARAT</v>
      </c>
      <c r="F558" s="3" t="str">
        <f t="shared" si="4"/>
        <v>SURAT</v>
      </c>
      <c r="G558" s="1" t="s">
        <v>1725</v>
      </c>
      <c r="H558" s="3" t="str">
        <f t="shared" si="5"/>
        <v>DRESS</v>
      </c>
      <c r="I558" s="3" t="str">
        <f t="shared" si="6"/>
        <v>WOMEN WAERS</v>
      </c>
      <c r="J558" s="3">
        <f t="shared" si="7"/>
        <v>4</v>
      </c>
      <c r="K558" s="3">
        <f t="shared" si="8"/>
        <v>595</v>
      </c>
      <c r="L558" s="4">
        <f t="shared" si="9"/>
        <v>0.1</v>
      </c>
      <c r="M558" s="3">
        <f t="shared" si="10"/>
        <v>2142</v>
      </c>
      <c r="N558" s="3">
        <f t="shared" si="11"/>
        <v>1499</v>
      </c>
      <c r="O558" s="3">
        <f t="shared" si="12"/>
        <v>643</v>
      </c>
      <c r="P558" s="3" t="str">
        <f t="shared" si="13"/>
        <v>CARD</v>
      </c>
      <c r="Q558" s="3" t="str">
        <f t="shared" si="14"/>
        <v>DELIVERED</v>
      </c>
    </row>
    <row r="559">
      <c r="A559" s="1" t="s">
        <v>1726</v>
      </c>
      <c r="B559" s="2">
        <f t="shared" si="1"/>
        <v>46300</v>
      </c>
      <c r="C559" s="1" t="s">
        <v>1727</v>
      </c>
      <c r="D559" s="3" t="str">
        <f t="shared" si="2"/>
        <v>VINO</v>
      </c>
      <c r="E559" s="3" t="str">
        <f t="shared" si="3"/>
        <v>RAJASTHAN</v>
      </c>
      <c r="F559" s="3" t="str">
        <f t="shared" si="4"/>
        <v>JAIPUR</v>
      </c>
      <c r="G559" s="1" t="s">
        <v>1728</v>
      </c>
      <c r="H559" s="3" t="str">
        <f t="shared" si="5"/>
        <v>BEAUTY</v>
      </c>
      <c r="I559" s="3" t="str">
        <f t="shared" si="6"/>
        <v>KAJAL</v>
      </c>
      <c r="J559" s="3">
        <f t="shared" si="7"/>
        <v>3</v>
      </c>
      <c r="K559" s="3">
        <f t="shared" si="8"/>
        <v>144</v>
      </c>
      <c r="L559" s="4">
        <f t="shared" si="9"/>
        <v>0.17</v>
      </c>
      <c r="M559" s="3">
        <f t="shared" si="10"/>
        <v>358.56</v>
      </c>
      <c r="N559" s="3">
        <f t="shared" si="11"/>
        <v>251</v>
      </c>
      <c r="O559" s="3">
        <f t="shared" si="12"/>
        <v>108</v>
      </c>
      <c r="P559" s="3" t="str">
        <f t="shared" si="13"/>
        <v>COD</v>
      </c>
      <c r="Q559" s="3" t="str">
        <f t="shared" si="14"/>
        <v>SHIPPED</v>
      </c>
    </row>
    <row r="560">
      <c r="A560" s="1" t="s">
        <v>1729</v>
      </c>
      <c r="B560" s="2">
        <f t="shared" si="1"/>
        <v>46070</v>
      </c>
      <c r="C560" s="1" t="s">
        <v>1730</v>
      </c>
      <c r="D560" s="3" t="str">
        <f t="shared" si="2"/>
        <v>ABI</v>
      </c>
      <c r="E560" s="3" t="str">
        <f t="shared" si="3"/>
        <v>WEST BENGAL</v>
      </c>
      <c r="F560" s="3" t="str">
        <f t="shared" si="4"/>
        <v>KOLKATA</v>
      </c>
      <c r="G560" s="1" t="s">
        <v>1731</v>
      </c>
      <c r="H560" s="3" t="str">
        <f t="shared" si="5"/>
        <v>HOME &amp; KITCHEN</v>
      </c>
      <c r="I560" s="3" t="str">
        <f t="shared" si="6"/>
        <v>MIXER GRAINDER</v>
      </c>
      <c r="J560" s="3">
        <f t="shared" si="7"/>
        <v>5</v>
      </c>
      <c r="K560" s="3">
        <f t="shared" si="8"/>
        <v>334</v>
      </c>
      <c r="L560" s="4">
        <f t="shared" si="9"/>
        <v>0</v>
      </c>
      <c r="M560" s="3">
        <f t="shared" si="10"/>
        <v>1670</v>
      </c>
      <c r="N560" s="3">
        <f t="shared" si="11"/>
        <v>1169</v>
      </c>
      <c r="O560" s="3">
        <f t="shared" si="12"/>
        <v>501</v>
      </c>
      <c r="P560" s="3" t="str">
        <f t="shared" si="13"/>
        <v>NET BANKING</v>
      </c>
      <c r="Q560" s="3" t="str">
        <f t="shared" si="14"/>
        <v>CANCELLED</v>
      </c>
    </row>
    <row r="561">
      <c r="A561" s="1" t="s">
        <v>1732</v>
      </c>
      <c r="B561" s="2">
        <f t="shared" si="1"/>
        <v>46115</v>
      </c>
      <c r="C561" s="1" t="s">
        <v>1733</v>
      </c>
      <c r="D561" s="3" t="str">
        <f t="shared" si="2"/>
        <v>NIHAAR</v>
      </c>
      <c r="E561" s="3" t="str">
        <f t="shared" si="3"/>
        <v>MAGARASTRA</v>
      </c>
      <c r="F561" s="3" t="str">
        <f t="shared" si="4"/>
        <v>PUNE</v>
      </c>
      <c r="G561" s="1" t="s">
        <v>1734</v>
      </c>
      <c r="H561" s="3" t="str">
        <f t="shared" si="5"/>
        <v>BOOKS</v>
      </c>
      <c r="I561" s="3" t="str">
        <f t="shared" si="6"/>
        <v>LIFE OF PI</v>
      </c>
      <c r="J561" s="3">
        <f t="shared" si="7"/>
        <v>4</v>
      </c>
      <c r="K561" s="3">
        <f t="shared" si="8"/>
        <v>318</v>
      </c>
      <c r="L561" s="4">
        <f t="shared" si="9"/>
        <v>0</v>
      </c>
      <c r="M561" s="3">
        <f t="shared" si="10"/>
        <v>1272</v>
      </c>
      <c r="N561" s="3">
        <f t="shared" si="11"/>
        <v>890</v>
      </c>
      <c r="O561" s="3">
        <f t="shared" si="12"/>
        <v>382</v>
      </c>
      <c r="P561" s="3" t="str">
        <f t="shared" si="13"/>
        <v>WALLET</v>
      </c>
      <c r="Q561" s="3" t="str">
        <f t="shared" si="14"/>
        <v>RETURNED</v>
      </c>
    </row>
    <row r="562">
      <c r="A562" s="1" t="s">
        <v>1735</v>
      </c>
      <c r="B562" s="2">
        <f t="shared" si="1"/>
        <v>46243</v>
      </c>
      <c r="C562" s="1" t="s">
        <v>1736</v>
      </c>
      <c r="D562" s="3" t="str">
        <f t="shared" si="2"/>
        <v>SRI</v>
      </c>
      <c r="E562" s="3" t="str">
        <f t="shared" si="3"/>
        <v>TAMILNADU</v>
      </c>
      <c r="F562" s="3" t="str">
        <f t="shared" si="4"/>
        <v>THOOTHUKUDI</v>
      </c>
      <c r="G562" s="1" t="s">
        <v>1737</v>
      </c>
      <c r="H562" s="3" t="str">
        <f t="shared" si="5"/>
        <v>ACCESSORIES</v>
      </c>
      <c r="I562" s="3" t="str">
        <f t="shared" si="6"/>
        <v>EARRINGS</v>
      </c>
      <c r="J562" s="3">
        <f t="shared" si="7"/>
        <v>2</v>
      </c>
      <c r="K562" s="3">
        <f t="shared" si="8"/>
        <v>405</v>
      </c>
      <c r="L562" s="4">
        <f t="shared" si="9"/>
        <v>0.17</v>
      </c>
      <c r="M562" s="3">
        <f t="shared" si="10"/>
        <v>672.3</v>
      </c>
      <c r="N562" s="3">
        <f t="shared" si="11"/>
        <v>471</v>
      </c>
      <c r="O562" s="3">
        <f t="shared" si="12"/>
        <v>201</v>
      </c>
      <c r="P562" s="3" t="str">
        <f t="shared" si="13"/>
        <v>UPI</v>
      </c>
      <c r="Q562" s="3" t="str">
        <f t="shared" si="14"/>
        <v>DELIVERED</v>
      </c>
    </row>
    <row r="563">
      <c r="A563" s="1" t="s">
        <v>1738</v>
      </c>
      <c r="B563" s="2">
        <f t="shared" si="1"/>
        <v>46057</v>
      </c>
      <c r="C563" s="1" t="s">
        <v>1739</v>
      </c>
      <c r="D563" s="3" t="str">
        <f t="shared" si="2"/>
        <v>SHOBN</v>
      </c>
      <c r="E563" s="3" t="str">
        <f t="shared" si="3"/>
        <v>KERALA</v>
      </c>
      <c r="F563" s="3" t="str">
        <f t="shared" si="4"/>
        <v>KOCHI</v>
      </c>
      <c r="G563" s="1" t="s">
        <v>1740</v>
      </c>
      <c r="H563" s="3" t="str">
        <f t="shared" si="5"/>
        <v>ELECTRONICS</v>
      </c>
      <c r="I563" s="3" t="str">
        <f t="shared" si="6"/>
        <v>WIRELESS EARBUDS</v>
      </c>
      <c r="J563" s="3">
        <f t="shared" si="7"/>
        <v>1</v>
      </c>
      <c r="K563" s="3">
        <f t="shared" si="8"/>
        <v>478</v>
      </c>
      <c r="L563" s="4">
        <f t="shared" si="9"/>
        <v>0.5</v>
      </c>
      <c r="M563" s="3">
        <f t="shared" si="10"/>
        <v>239</v>
      </c>
      <c r="N563" s="3">
        <f t="shared" si="11"/>
        <v>167</v>
      </c>
      <c r="O563" s="3">
        <f t="shared" si="12"/>
        <v>72</v>
      </c>
      <c r="P563" s="3" t="str">
        <f t="shared" si="13"/>
        <v>CARD</v>
      </c>
      <c r="Q563" s="3" t="str">
        <f t="shared" si="14"/>
        <v>SHIPPED</v>
      </c>
    </row>
    <row r="564">
      <c r="A564" s="1" t="s">
        <v>1741</v>
      </c>
      <c r="B564" s="2">
        <f t="shared" si="1"/>
        <v>46109</v>
      </c>
      <c r="C564" s="1" t="s">
        <v>1742</v>
      </c>
      <c r="D564" s="3" t="str">
        <f t="shared" si="2"/>
        <v>SOBI</v>
      </c>
      <c r="E564" s="3" t="str">
        <f t="shared" si="3"/>
        <v>KARNATAKA</v>
      </c>
      <c r="F564" s="3" t="str">
        <f t="shared" si="4"/>
        <v>BANGALURU</v>
      </c>
      <c r="G564" s="1" t="s">
        <v>1743</v>
      </c>
      <c r="H564" s="3" t="str">
        <f t="shared" si="5"/>
        <v>SPORTS</v>
      </c>
      <c r="I564" s="3" t="str">
        <f t="shared" si="6"/>
        <v>FOOTBALL</v>
      </c>
      <c r="J564" s="3">
        <f t="shared" si="7"/>
        <v>4</v>
      </c>
      <c r="K564" s="3">
        <f t="shared" si="8"/>
        <v>100</v>
      </c>
      <c r="L564" s="4">
        <f t="shared" si="9"/>
        <v>0.2</v>
      </c>
      <c r="M564" s="3">
        <f t="shared" si="10"/>
        <v>320</v>
      </c>
      <c r="N564" s="3">
        <f t="shared" si="11"/>
        <v>224</v>
      </c>
      <c r="O564" s="3">
        <f t="shared" si="12"/>
        <v>96</v>
      </c>
      <c r="P564" s="3" t="str">
        <f t="shared" si="13"/>
        <v>COD</v>
      </c>
      <c r="Q564" s="3" t="str">
        <f t="shared" si="14"/>
        <v>CANCELLED</v>
      </c>
    </row>
    <row r="565">
      <c r="A565" s="1" t="s">
        <v>1744</v>
      </c>
      <c r="B565" s="2">
        <f t="shared" si="1"/>
        <v>46036</v>
      </c>
      <c r="C565" s="1" t="s">
        <v>1745</v>
      </c>
      <c r="D565" s="3" t="str">
        <f t="shared" si="2"/>
        <v>SUJI</v>
      </c>
      <c r="E565" s="3" t="str">
        <f t="shared" si="3"/>
        <v>ANDHRA PRADESH</v>
      </c>
      <c r="F565" s="3" t="str">
        <f t="shared" si="4"/>
        <v>TIRUPATI</v>
      </c>
      <c r="G565" s="1" t="s">
        <v>1746</v>
      </c>
      <c r="H565" s="3" t="str">
        <f t="shared" si="5"/>
        <v>FOOD</v>
      </c>
      <c r="I565" s="3" t="str">
        <f t="shared" si="6"/>
        <v>BIRIYANI</v>
      </c>
      <c r="J565" s="3">
        <f t="shared" si="7"/>
        <v>1</v>
      </c>
      <c r="K565" s="3">
        <f t="shared" si="8"/>
        <v>403</v>
      </c>
      <c r="L565" s="4">
        <f t="shared" si="9"/>
        <v>0.15</v>
      </c>
      <c r="M565" s="3">
        <f t="shared" si="10"/>
        <v>342.55</v>
      </c>
      <c r="N565" s="3">
        <f t="shared" si="11"/>
        <v>240</v>
      </c>
      <c r="O565" s="3">
        <f t="shared" si="12"/>
        <v>103</v>
      </c>
      <c r="P565" s="3" t="str">
        <f t="shared" si="13"/>
        <v>NET BANKING</v>
      </c>
      <c r="Q565" s="3" t="str">
        <f t="shared" si="14"/>
        <v>RETURNED</v>
      </c>
    </row>
    <row r="566">
      <c r="A566" s="1" t="s">
        <v>1747</v>
      </c>
      <c r="B566" s="2">
        <f t="shared" si="1"/>
        <v>46117</v>
      </c>
      <c r="C566" s="1" t="s">
        <v>1748</v>
      </c>
      <c r="D566" s="3" t="str">
        <f t="shared" si="2"/>
        <v>RATHA</v>
      </c>
      <c r="E566" s="3" t="str">
        <f t="shared" si="3"/>
        <v>TELUGANA</v>
      </c>
      <c r="F566" s="3" t="str">
        <f t="shared" si="4"/>
        <v>HYDERABAD</v>
      </c>
      <c r="G566" s="1" t="s">
        <v>1749</v>
      </c>
      <c r="H566" s="3" t="str">
        <f t="shared" si="5"/>
        <v>DRESS</v>
      </c>
      <c r="I566" s="3" t="str">
        <f t="shared" si="6"/>
        <v>WOMEN WAERS</v>
      </c>
      <c r="J566" s="3">
        <f t="shared" si="7"/>
        <v>4</v>
      </c>
      <c r="K566" s="3">
        <f t="shared" si="8"/>
        <v>130</v>
      </c>
      <c r="L566" s="4">
        <f t="shared" si="9"/>
        <v>0</v>
      </c>
      <c r="M566" s="3">
        <f t="shared" si="10"/>
        <v>520</v>
      </c>
      <c r="N566" s="3">
        <f t="shared" si="11"/>
        <v>364</v>
      </c>
      <c r="O566" s="3">
        <f t="shared" si="12"/>
        <v>156</v>
      </c>
      <c r="P566" s="3" t="str">
        <f t="shared" si="13"/>
        <v>WALLET</v>
      </c>
      <c r="Q566" s="3" t="str">
        <f t="shared" si="14"/>
        <v>DELIVERED</v>
      </c>
    </row>
    <row r="567">
      <c r="A567" s="1" t="s">
        <v>1750</v>
      </c>
      <c r="B567" s="2">
        <f t="shared" si="1"/>
        <v>46179</v>
      </c>
      <c r="C567" s="1" t="s">
        <v>1751</v>
      </c>
      <c r="D567" s="3" t="str">
        <f t="shared" si="2"/>
        <v>SUSA</v>
      </c>
      <c r="E567" s="3" t="str">
        <f t="shared" si="3"/>
        <v>UTTHRA PRADESH</v>
      </c>
      <c r="F567" s="3" t="str">
        <f t="shared" si="4"/>
        <v>LUCKNOW</v>
      </c>
      <c r="G567" s="1" t="s">
        <v>1752</v>
      </c>
      <c r="H567" s="3" t="str">
        <f t="shared" si="5"/>
        <v>BEAUTY</v>
      </c>
      <c r="I567" s="3" t="str">
        <f t="shared" si="6"/>
        <v>KAJAL</v>
      </c>
      <c r="J567" s="3">
        <f t="shared" si="7"/>
        <v>1</v>
      </c>
      <c r="K567" s="3">
        <f t="shared" si="8"/>
        <v>333</v>
      </c>
      <c r="L567" s="4">
        <f t="shared" si="9"/>
        <v>0.1</v>
      </c>
      <c r="M567" s="3">
        <f t="shared" si="10"/>
        <v>299.7</v>
      </c>
      <c r="N567" s="3">
        <f t="shared" si="11"/>
        <v>210</v>
      </c>
      <c r="O567" s="3">
        <f t="shared" si="12"/>
        <v>90</v>
      </c>
      <c r="P567" s="3" t="str">
        <f t="shared" si="13"/>
        <v>UPI</v>
      </c>
      <c r="Q567" s="3" t="str">
        <f t="shared" si="14"/>
        <v>SHIPPED</v>
      </c>
    </row>
    <row r="568">
      <c r="A568" s="1" t="s">
        <v>1753</v>
      </c>
      <c r="B568" s="2">
        <f t="shared" si="1"/>
        <v>46221</v>
      </c>
      <c r="C568" s="1" t="s">
        <v>1754</v>
      </c>
      <c r="D568" s="3" t="str">
        <f t="shared" si="2"/>
        <v>NIVE</v>
      </c>
      <c r="E568" s="3" t="str">
        <f t="shared" si="3"/>
        <v>GUJARAT</v>
      </c>
      <c r="F568" s="3" t="str">
        <f t="shared" si="4"/>
        <v>SURAT</v>
      </c>
      <c r="G568" s="1" t="s">
        <v>1755</v>
      </c>
      <c r="H568" s="3" t="str">
        <f t="shared" si="5"/>
        <v>HOME &amp; KITCHEN</v>
      </c>
      <c r="I568" s="3" t="str">
        <f t="shared" si="6"/>
        <v>MIXER GRAINDER</v>
      </c>
      <c r="J568" s="3">
        <f t="shared" si="7"/>
        <v>3</v>
      </c>
      <c r="K568" s="3">
        <f t="shared" si="8"/>
        <v>217</v>
      </c>
      <c r="L568" s="4">
        <f t="shared" si="9"/>
        <v>0.1</v>
      </c>
      <c r="M568" s="3">
        <f t="shared" si="10"/>
        <v>585.9</v>
      </c>
      <c r="N568" s="3">
        <f t="shared" si="11"/>
        <v>410</v>
      </c>
      <c r="O568" s="3">
        <f t="shared" si="12"/>
        <v>176</v>
      </c>
      <c r="P568" s="3" t="str">
        <f t="shared" si="13"/>
        <v>CARD</v>
      </c>
      <c r="Q568" s="3" t="str">
        <f t="shared" si="14"/>
        <v>CANCELLED</v>
      </c>
    </row>
    <row r="569">
      <c r="A569" s="1" t="s">
        <v>1756</v>
      </c>
      <c r="B569" s="2">
        <f t="shared" si="1"/>
        <v>46314</v>
      </c>
      <c r="C569" s="1" t="s">
        <v>1757</v>
      </c>
      <c r="D569" s="3" t="str">
        <f t="shared" si="2"/>
        <v>VINO</v>
      </c>
      <c r="E569" s="3" t="str">
        <f t="shared" si="3"/>
        <v>RAJASTHAN</v>
      </c>
      <c r="F569" s="3" t="str">
        <f t="shared" si="4"/>
        <v>JAIPUR</v>
      </c>
      <c r="G569" s="1" t="s">
        <v>1758</v>
      </c>
      <c r="H569" s="3" t="str">
        <f t="shared" si="5"/>
        <v>BOOKS</v>
      </c>
      <c r="I569" s="3" t="str">
        <f t="shared" si="6"/>
        <v>LIFE OF PI</v>
      </c>
      <c r="J569" s="3">
        <f t="shared" si="7"/>
        <v>1</v>
      </c>
      <c r="K569" s="3">
        <f t="shared" si="8"/>
        <v>332</v>
      </c>
      <c r="L569" s="4">
        <f t="shared" si="9"/>
        <v>0.1</v>
      </c>
      <c r="M569" s="3">
        <f t="shared" si="10"/>
        <v>298.8</v>
      </c>
      <c r="N569" s="3">
        <f t="shared" si="11"/>
        <v>209</v>
      </c>
      <c r="O569" s="3">
        <f t="shared" si="12"/>
        <v>90</v>
      </c>
      <c r="P569" s="3" t="str">
        <f t="shared" si="13"/>
        <v>COD</v>
      </c>
      <c r="Q569" s="3" t="str">
        <f t="shared" si="14"/>
        <v>RETURNED</v>
      </c>
    </row>
    <row r="570">
      <c r="A570" s="1" t="s">
        <v>1759</v>
      </c>
      <c r="B570" s="2">
        <f t="shared" si="1"/>
        <v>46324</v>
      </c>
      <c r="C570" s="1" t="s">
        <v>1760</v>
      </c>
      <c r="D570" s="3" t="str">
        <f t="shared" si="2"/>
        <v>ABI</v>
      </c>
      <c r="E570" s="3" t="str">
        <f t="shared" si="3"/>
        <v>WEST BENGAL</v>
      </c>
      <c r="F570" s="3" t="str">
        <f t="shared" si="4"/>
        <v>KOLKATA</v>
      </c>
      <c r="G570" s="1" t="s">
        <v>1761</v>
      </c>
      <c r="H570" s="3" t="str">
        <f t="shared" si="5"/>
        <v>ACCESSORIES</v>
      </c>
      <c r="I570" s="3" t="str">
        <f t="shared" si="6"/>
        <v>EARRINGS</v>
      </c>
      <c r="J570" s="3">
        <f t="shared" si="7"/>
        <v>3</v>
      </c>
      <c r="K570" s="3">
        <f t="shared" si="8"/>
        <v>113</v>
      </c>
      <c r="L570" s="4">
        <f t="shared" si="9"/>
        <v>0.5</v>
      </c>
      <c r="M570" s="3">
        <f t="shared" si="10"/>
        <v>169.5</v>
      </c>
      <c r="N570" s="3">
        <f t="shared" si="11"/>
        <v>119</v>
      </c>
      <c r="O570" s="3">
        <f t="shared" si="12"/>
        <v>51</v>
      </c>
      <c r="P570" s="3" t="str">
        <f t="shared" si="13"/>
        <v>NET BANKING</v>
      </c>
      <c r="Q570" s="3" t="str">
        <f t="shared" si="14"/>
        <v>DELIVERED</v>
      </c>
    </row>
    <row r="571">
      <c r="A571" s="1" t="s">
        <v>1762</v>
      </c>
      <c r="B571" s="2">
        <f t="shared" si="1"/>
        <v>46054</v>
      </c>
      <c r="C571" s="1" t="s">
        <v>1763</v>
      </c>
      <c r="D571" s="3" t="str">
        <f t="shared" si="2"/>
        <v>NIHAAR</v>
      </c>
      <c r="E571" s="3" t="str">
        <f t="shared" si="3"/>
        <v>MAGARASTRA</v>
      </c>
      <c r="F571" s="3" t="str">
        <f t="shared" si="4"/>
        <v>PUNE</v>
      </c>
      <c r="G571" s="1" t="s">
        <v>1764</v>
      </c>
      <c r="H571" s="3" t="str">
        <f t="shared" si="5"/>
        <v>ELECTRONICS</v>
      </c>
      <c r="I571" s="3" t="str">
        <f t="shared" si="6"/>
        <v>WIRELESS EARBUDS</v>
      </c>
      <c r="J571" s="3">
        <f t="shared" si="7"/>
        <v>5</v>
      </c>
      <c r="K571" s="3">
        <f t="shared" si="8"/>
        <v>390</v>
      </c>
      <c r="L571" s="4">
        <f t="shared" si="9"/>
        <v>0.15</v>
      </c>
      <c r="M571" s="3">
        <f t="shared" si="10"/>
        <v>1657.5</v>
      </c>
      <c r="N571" s="3">
        <f t="shared" si="11"/>
        <v>1160</v>
      </c>
      <c r="O571" s="3">
        <f t="shared" si="12"/>
        <v>498</v>
      </c>
      <c r="P571" s="3" t="str">
        <f t="shared" si="13"/>
        <v>WALLET</v>
      </c>
      <c r="Q571" s="3" t="str">
        <f t="shared" si="14"/>
        <v>SHIPPED</v>
      </c>
    </row>
    <row r="572">
      <c r="A572" s="1" t="s">
        <v>1765</v>
      </c>
      <c r="B572" s="2">
        <f t="shared" si="1"/>
        <v>46289</v>
      </c>
      <c r="C572" s="1" t="s">
        <v>1766</v>
      </c>
      <c r="D572" s="3" t="str">
        <f t="shared" si="2"/>
        <v>SRI</v>
      </c>
      <c r="E572" s="3" t="str">
        <f t="shared" si="3"/>
        <v>TAMILNADU</v>
      </c>
      <c r="F572" s="3" t="str">
        <f t="shared" si="4"/>
        <v>THOOTHUKUDI</v>
      </c>
      <c r="G572" s="1" t="s">
        <v>1767</v>
      </c>
      <c r="H572" s="3" t="str">
        <f t="shared" si="5"/>
        <v>SPORTS</v>
      </c>
      <c r="I572" s="3" t="str">
        <f t="shared" si="6"/>
        <v>FOOTBALL</v>
      </c>
      <c r="J572" s="3">
        <f t="shared" si="7"/>
        <v>4</v>
      </c>
      <c r="K572" s="3">
        <f t="shared" si="8"/>
        <v>477</v>
      </c>
      <c r="L572" s="4">
        <f t="shared" si="9"/>
        <v>0.15</v>
      </c>
      <c r="M572" s="3">
        <f t="shared" si="10"/>
        <v>1621.8</v>
      </c>
      <c r="N572" s="3">
        <f t="shared" si="11"/>
        <v>1135</v>
      </c>
      <c r="O572" s="3">
        <f t="shared" si="12"/>
        <v>487</v>
      </c>
      <c r="P572" s="3" t="str">
        <f t="shared" si="13"/>
        <v>UPI</v>
      </c>
      <c r="Q572" s="3" t="str">
        <f t="shared" si="14"/>
        <v>CANCELLED</v>
      </c>
    </row>
    <row r="573">
      <c r="A573" s="1" t="s">
        <v>1768</v>
      </c>
      <c r="B573" s="2">
        <f t="shared" si="1"/>
        <v>46329</v>
      </c>
      <c r="C573" s="1" t="s">
        <v>1769</v>
      </c>
      <c r="D573" s="3" t="str">
        <f t="shared" si="2"/>
        <v>SHOBN</v>
      </c>
      <c r="E573" s="3" t="str">
        <f t="shared" si="3"/>
        <v>KERALA</v>
      </c>
      <c r="F573" s="3" t="str">
        <f t="shared" si="4"/>
        <v>KOCHI</v>
      </c>
      <c r="G573" s="1" t="s">
        <v>1770</v>
      </c>
      <c r="H573" s="3" t="str">
        <f t="shared" si="5"/>
        <v>FOOD</v>
      </c>
      <c r="I573" s="3" t="str">
        <f t="shared" si="6"/>
        <v>BIRIYANI</v>
      </c>
      <c r="J573" s="3">
        <f t="shared" si="7"/>
        <v>1</v>
      </c>
      <c r="K573" s="3">
        <f t="shared" si="8"/>
        <v>151</v>
      </c>
      <c r="L573" s="4">
        <f t="shared" si="9"/>
        <v>0</v>
      </c>
      <c r="M573" s="3">
        <f t="shared" si="10"/>
        <v>151</v>
      </c>
      <c r="N573" s="3">
        <f t="shared" si="11"/>
        <v>106</v>
      </c>
      <c r="O573" s="3">
        <f t="shared" si="12"/>
        <v>45</v>
      </c>
      <c r="P573" s="3" t="str">
        <f t="shared" si="13"/>
        <v>CARD</v>
      </c>
      <c r="Q573" s="3" t="str">
        <f t="shared" si="14"/>
        <v>RETURNED</v>
      </c>
    </row>
    <row r="574">
      <c r="A574" s="1" t="s">
        <v>1771</v>
      </c>
      <c r="B574" s="2">
        <f t="shared" si="1"/>
        <v>46065</v>
      </c>
      <c r="C574" s="1" t="s">
        <v>1772</v>
      </c>
      <c r="D574" s="3" t="str">
        <f t="shared" si="2"/>
        <v>SOBI</v>
      </c>
      <c r="E574" s="3" t="str">
        <f t="shared" si="3"/>
        <v>KARNATAKA</v>
      </c>
      <c r="F574" s="3" t="str">
        <f t="shared" si="4"/>
        <v>BANGALURU</v>
      </c>
      <c r="G574" s="1" t="s">
        <v>1773</v>
      </c>
      <c r="H574" s="3" t="str">
        <f t="shared" si="5"/>
        <v>DRESS</v>
      </c>
      <c r="I574" s="3" t="str">
        <f t="shared" si="6"/>
        <v>WOMEN WAERS</v>
      </c>
      <c r="J574" s="3">
        <f t="shared" si="7"/>
        <v>4</v>
      </c>
      <c r="K574" s="3">
        <f t="shared" si="8"/>
        <v>135</v>
      </c>
      <c r="L574" s="4">
        <f t="shared" si="9"/>
        <v>0.5</v>
      </c>
      <c r="M574" s="3">
        <f t="shared" si="10"/>
        <v>270</v>
      </c>
      <c r="N574" s="3">
        <f t="shared" si="11"/>
        <v>189</v>
      </c>
      <c r="O574" s="3">
        <f t="shared" si="12"/>
        <v>81</v>
      </c>
      <c r="P574" s="3" t="str">
        <f t="shared" si="13"/>
        <v>COD</v>
      </c>
      <c r="Q574" s="3" t="str">
        <f t="shared" si="14"/>
        <v>DELIVERED</v>
      </c>
    </row>
    <row r="575">
      <c r="A575" s="1" t="s">
        <v>1774</v>
      </c>
      <c r="B575" s="2">
        <f t="shared" si="1"/>
        <v>46147</v>
      </c>
      <c r="C575" s="1" t="s">
        <v>1775</v>
      </c>
      <c r="D575" s="3" t="str">
        <f t="shared" si="2"/>
        <v>SUJI</v>
      </c>
      <c r="E575" s="3" t="str">
        <f t="shared" si="3"/>
        <v>ANDHRA PRADESH</v>
      </c>
      <c r="F575" s="3" t="str">
        <f t="shared" si="4"/>
        <v>TIRUPATI</v>
      </c>
      <c r="G575" s="1" t="s">
        <v>1776</v>
      </c>
      <c r="H575" s="3" t="str">
        <f t="shared" si="5"/>
        <v>BEAUTY</v>
      </c>
      <c r="I575" s="3" t="str">
        <f t="shared" si="6"/>
        <v>KAJAL</v>
      </c>
      <c r="J575" s="3">
        <f t="shared" si="7"/>
        <v>3</v>
      </c>
      <c r="K575" s="3">
        <f t="shared" si="8"/>
        <v>171</v>
      </c>
      <c r="L575" s="4">
        <f t="shared" si="9"/>
        <v>0.17</v>
      </c>
      <c r="M575" s="3">
        <f t="shared" si="10"/>
        <v>425.79</v>
      </c>
      <c r="N575" s="3">
        <f t="shared" si="11"/>
        <v>298</v>
      </c>
      <c r="O575" s="3">
        <f t="shared" si="12"/>
        <v>128</v>
      </c>
      <c r="P575" s="3" t="str">
        <f t="shared" si="13"/>
        <v>NET BANKING</v>
      </c>
      <c r="Q575" s="3" t="str">
        <f t="shared" si="14"/>
        <v>SHIPPED</v>
      </c>
    </row>
    <row r="576">
      <c r="A576" s="1" t="s">
        <v>1777</v>
      </c>
      <c r="B576" s="2">
        <f t="shared" si="1"/>
        <v>46139</v>
      </c>
      <c r="C576" s="1" t="s">
        <v>1778</v>
      </c>
      <c r="D576" s="3" t="str">
        <f t="shared" si="2"/>
        <v>RATHA</v>
      </c>
      <c r="E576" s="3" t="str">
        <f t="shared" si="3"/>
        <v>TELUGANA</v>
      </c>
      <c r="F576" s="3" t="str">
        <f t="shared" si="4"/>
        <v>HYDERABAD</v>
      </c>
      <c r="G576" s="1" t="s">
        <v>1779</v>
      </c>
      <c r="H576" s="3" t="str">
        <f t="shared" si="5"/>
        <v>HOME &amp; KITCHEN</v>
      </c>
      <c r="I576" s="3" t="str">
        <f t="shared" si="6"/>
        <v>MIXER GRAINDER</v>
      </c>
      <c r="J576" s="3">
        <f t="shared" si="7"/>
        <v>1</v>
      </c>
      <c r="K576" s="3">
        <f t="shared" si="8"/>
        <v>206</v>
      </c>
      <c r="L576" s="4">
        <f t="shared" si="9"/>
        <v>0.17</v>
      </c>
      <c r="M576" s="3">
        <f t="shared" si="10"/>
        <v>170.98</v>
      </c>
      <c r="N576" s="3">
        <f t="shared" si="11"/>
        <v>120</v>
      </c>
      <c r="O576" s="3">
        <f t="shared" si="12"/>
        <v>51</v>
      </c>
      <c r="P576" s="3" t="str">
        <f t="shared" si="13"/>
        <v>WALLET</v>
      </c>
      <c r="Q576" s="3" t="str">
        <f t="shared" si="14"/>
        <v>CANCELLED</v>
      </c>
    </row>
    <row r="577">
      <c r="A577" s="1" t="s">
        <v>1780</v>
      </c>
      <c r="B577" s="2">
        <f t="shared" si="1"/>
        <v>46297</v>
      </c>
      <c r="C577" s="1" t="s">
        <v>1781</v>
      </c>
      <c r="D577" s="3" t="str">
        <f t="shared" si="2"/>
        <v>SUSA</v>
      </c>
      <c r="E577" s="3" t="str">
        <f t="shared" si="3"/>
        <v>UTTHRA PRADESH</v>
      </c>
      <c r="F577" s="3" t="str">
        <f t="shared" si="4"/>
        <v>LUCKNOW</v>
      </c>
      <c r="G577" s="1" t="s">
        <v>1782</v>
      </c>
      <c r="H577" s="3" t="str">
        <f t="shared" si="5"/>
        <v>BOOKS</v>
      </c>
      <c r="I577" s="3" t="str">
        <f t="shared" si="6"/>
        <v>LIFE OF PI</v>
      </c>
      <c r="J577" s="3">
        <f t="shared" si="7"/>
        <v>3</v>
      </c>
      <c r="K577" s="3">
        <f t="shared" si="8"/>
        <v>417</v>
      </c>
      <c r="L577" s="4">
        <f t="shared" si="9"/>
        <v>0.1</v>
      </c>
      <c r="M577" s="3">
        <f t="shared" si="10"/>
        <v>1125.9</v>
      </c>
      <c r="N577" s="3">
        <f t="shared" si="11"/>
        <v>788</v>
      </c>
      <c r="O577" s="3">
        <f t="shared" si="12"/>
        <v>338</v>
      </c>
      <c r="P577" s="3" t="str">
        <f t="shared" si="13"/>
        <v>UPI</v>
      </c>
      <c r="Q577" s="3" t="str">
        <f t="shared" si="14"/>
        <v>RETURNED</v>
      </c>
    </row>
    <row r="578">
      <c r="A578" s="1" t="s">
        <v>1783</v>
      </c>
      <c r="B578" s="2">
        <f t="shared" si="1"/>
        <v>46118</v>
      </c>
      <c r="C578" s="1" t="s">
        <v>1784</v>
      </c>
      <c r="D578" s="3" t="str">
        <f t="shared" si="2"/>
        <v>NIVE</v>
      </c>
      <c r="E578" s="3" t="str">
        <f t="shared" si="3"/>
        <v>GUJARAT</v>
      </c>
      <c r="F578" s="3" t="str">
        <f t="shared" si="4"/>
        <v>SURAT</v>
      </c>
      <c r="G578" s="1" t="s">
        <v>1785</v>
      </c>
      <c r="H578" s="3" t="str">
        <f t="shared" si="5"/>
        <v>ACCESSORIES</v>
      </c>
      <c r="I578" s="3" t="str">
        <f t="shared" si="6"/>
        <v>EARRINGS</v>
      </c>
      <c r="J578" s="3">
        <f t="shared" si="7"/>
        <v>4</v>
      </c>
      <c r="K578" s="3">
        <f t="shared" si="8"/>
        <v>276</v>
      </c>
      <c r="L578" s="4">
        <f t="shared" si="9"/>
        <v>0.17</v>
      </c>
      <c r="M578" s="3">
        <f t="shared" si="10"/>
        <v>916.32</v>
      </c>
      <c r="N578" s="3">
        <f t="shared" si="11"/>
        <v>641</v>
      </c>
      <c r="O578" s="3">
        <f t="shared" si="12"/>
        <v>275</v>
      </c>
      <c r="P578" s="3" t="str">
        <f t="shared" si="13"/>
        <v>CARD</v>
      </c>
      <c r="Q578" s="3" t="str">
        <f t="shared" si="14"/>
        <v>DELIVERED</v>
      </c>
    </row>
    <row r="579">
      <c r="A579" s="1" t="s">
        <v>1786</v>
      </c>
      <c r="B579" s="2">
        <f t="shared" si="1"/>
        <v>46190</v>
      </c>
      <c r="C579" s="1" t="s">
        <v>1787</v>
      </c>
      <c r="D579" s="3" t="str">
        <f t="shared" si="2"/>
        <v>VINO</v>
      </c>
      <c r="E579" s="3" t="str">
        <f t="shared" si="3"/>
        <v>RAJASTHAN</v>
      </c>
      <c r="F579" s="3" t="str">
        <f t="shared" si="4"/>
        <v>JAIPUR</v>
      </c>
      <c r="G579" s="1" t="s">
        <v>1788</v>
      </c>
      <c r="H579" s="3" t="str">
        <f t="shared" si="5"/>
        <v>ELECTRONICS</v>
      </c>
      <c r="I579" s="3" t="str">
        <f t="shared" si="6"/>
        <v>WIRELESS EARBUDS</v>
      </c>
      <c r="J579" s="3">
        <f t="shared" si="7"/>
        <v>4</v>
      </c>
      <c r="K579" s="3">
        <f t="shared" si="8"/>
        <v>266</v>
      </c>
      <c r="L579" s="4">
        <f t="shared" si="9"/>
        <v>0.5</v>
      </c>
      <c r="M579" s="3">
        <f t="shared" si="10"/>
        <v>532</v>
      </c>
      <c r="N579" s="3">
        <f t="shared" si="11"/>
        <v>372</v>
      </c>
      <c r="O579" s="3">
        <f t="shared" si="12"/>
        <v>160</v>
      </c>
      <c r="P579" s="3" t="str">
        <f t="shared" si="13"/>
        <v>COD</v>
      </c>
      <c r="Q579" s="3" t="str">
        <f t="shared" si="14"/>
        <v>SHIPPED</v>
      </c>
    </row>
    <row r="580">
      <c r="A580" s="1" t="s">
        <v>1789</v>
      </c>
      <c r="B580" s="2">
        <f t="shared" si="1"/>
        <v>46366</v>
      </c>
      <c r="C580" s="1" t="s">
        <v>1790</v>
      </c>
      <c r="D580" s="3" t="str">
        <f t="shared" si="2"/>
        <v>ABI</v>
      </c>
      <c r="E580" s="3" t="str">
        <f t="shared" si="3"/>
        <v>WEST BENGAL</v>
      </c>
      <c r="F580" s="3" t="str">
        <f t="shared" si="4"/>
        <v>KOLKATA</v>
      </c>
      <c r="G580" s="1" t="s">
        <v>1791</v>
      </c>
      <c r="H580" s="3" t="str">
        <f t="shared" si="5"/>
        <v>SPORTS</v>
      </c>
      <c r="I580" s="3" t="str">
        <f t="shared" si="6"/>
        <v>FOOTBALL</v>
      </c>
      <c r="J580" s="3">
        <f t="shared" si="7"/>
        <v>3</v>
      </c>
      <c r="K580" s="3">
        <f t="shared" si="8"/>
        <v>435</v>
      </c>
      <c r="L580" s="4">
        <f t="shared" si="9"/>
        <v>0.1</v>
      </c>
      <c r="M580" s="3">
        <f t="shared" si="10"/>
        <v>1174.5</v>
      </c>
      <c r="N580" s="3">
        <f t="shared" si="11"/>
        <v>822</v>
      </c>
      <c r="O580" s="3">
        <f t="shared" si="12"/>
        <v>353</v>
      </c>
      <c r="P580" s="3" t="str">
        <f t="shared" si="13"/>
        <v>NET BANKING</v>
      </c>
      <c r="Q580" s="3" t="str">
        <f t="shared" si="14"/>
        <v>CANCELLED</v>
      </c>
    </row>
    <row r="581">
      <c r="A581" s="1" t="s">
        <v>1792</v>
      </c>
      <c r="B581" s="2">
        <f t="shared" si="1"/>
        <v>46328</v>
      </c>
      <c r="C581" s="1" t="s">
        <v>1793</v>
      </c>
      <c r="D581" s="3" t="str">
        <f t="shared" si="2"/>
        <v>NIHAAR</v>
      </c>
      <c r="E581" s="3" t="str">
        <f t="shared" si="3"/>
        <v>MAGARASTRA</v>
      </c>
      <c r="F581" s="3" t="str">
        <f t="shared" si="4"/>
        <v>PUNE</v>
      </c>
      <c r="G581" s="1" t="s">
        <v>1794</v>
      </c>
      <c r="H581" s="3" t="str">
        <f t="shared" si="5"/>
        <v>FOOD</v>
      </c>
      <c r="I581" s="3" t="str">
        <f t="shared" si="6"/>
        <v>BIRIYANI</v>
      </c>
      <c r="J581" s="3">
        <f t="shared" si="7"/>
        <v>2</v>
      </c>
      <c r="K581" s="3">
        <f t="shared" si="8"/>
        <v>431</v>
      </c>
      <c r="L581" s="4">
        <f t="shared" si="9"/>
        <v>0.15</v>
      </c>
      <c r="M581" s="3">
        <f t="shared" si="10"/>
        <v>732.7</v>
      </c>
      <c r="N581" s="3">
        <f t="shared" si="11"/>
        <v>513</v>
      </c>
      <c r="O581" s="3">
        <f t="shared" si="12"/>
        <v>220</v>
      </c>
      <c r="P581" s="3" t="str">
        <f t="shared" si="13"/>
        <v>WALLET</v>
      </c>
      <c r="Q581" s="3" t="str">
        <f t="shared" si="14"/>
        <v>RETURNED</v>
      </c>
    </row>
    <row r="582">
      <c r="A582" s="1" t="s">
        <v>1795</v>
      </c>
      <c r="B582" s="2">
        <f t="shared" si="1"/>
        <v>46159</v>
      </c>
      <c r="C582" s="1" t="s">
        <v>1796</v>
      </c>
      <c r="D582" s="3" t="str">
        <f t="shared" si="2"/>
        <v>SRI</v>
      </c>
      <c r="E582" s="3" t="str">
        <f t="shared" si="3"/>
        <v>TAMILNADU</v>
      </c>
      <c r="F582" s="3" t="str">
        <f t="shared" si="4"/>
        <v>THOOTHUKUDI</v>
      </c>
      <c r="G582" s="1" t="s">
        <v>1797</v>
      </c>
      <c r="H582" s="3" t="str">
        <f t="shared" si="5"/>
        <v>DRESS</v>
      </c>
      <c r="I582" s="3" t="str">
        <f t="shared" si="6"/>
        <v>WOMEN WAERS</v>
      </c>
      <c r="J582" s="3">
        <f t="shared" si="7"/>
        <v>4</v>
      </c>
      <c r="K582" s="3">
        <f t="shared" si="8"/>
        <v>165</v>
      </c>
      <c r="L582" s="4">
        <f t="shared" si="9"/>
        <v>0.2</v>
      </c>
      <c r="M582" s="3">
        <f t="shared" si="10"/>
        <v>528</v>
      </c>
      <c r="N582" s="3">
        <f t="shared" si="11"/>
        <v>370</v>
      </c>
      <c r="O582" s="3">
        <f t="shared" si="12"/>
        <v>158</v>
      </c>
      <c r="P582" s="3" t="str">
        <f t="shared" si="13"/>
        <v>UPI</v>
      </c>
      <c r="Q582" s="3" t="str">
        <f t="shared" si="14"/>
        <v>DELIVERED</v>
      </c>
    </row>
    <row r="583">
      <c r="A583" s="1" t="s">
        <v>1798</v>
      </c>
      <c r="B583" s="2">
        <f t="shared" si="1"/>
        <v>46300</v>
      </c>
      <c r="C583" s="1" t="s">
        <v>1799</v>
      </c>
      <c r="D583" s="3" t="str">
        <f t="shared" si="2"/>
        <v>SHOBN</v>
      </c>
      <c r="E583" s="3" t="str">
        <f t="shared" si="3"/>
        <v>KERALA</v>
      </c>
      <c r="F583" s="3" t="str">
        <f t="shared" si="4"/>
        <v>KOCHI</v>
      </c>
      <c r="G583" s="1" t="s">
        <v>1800</v>
      </c>
      <c r="H583" s="3" t="str">
        <f t="shared" si="5"/>
        <v>BEAUTY</v>
      </c>
      <c r="I583" s="3" t="str">
        <f t="shared" si="6"/>
        <v>KAJAL</v>
      </c>
      <c r="J583" s="3">
        <f t="shared" si="7"/>
        <v>5</v>
      </c>
      <c r="K583" s="3">
        <f t="shared" si="8"/>
        <v>531</v>
      </c>
      <c r="L583" s="4">
        <f t="shared" si="9"/>
        <v>0.15</v>
      </c>
      <c r="M583" s="3">
        <f t="shared" si="10"/>
        <v>2256.75</v>
      </c>
      <c r="N583" s="3">
        <f t="shared" si="11"/>
        <v>1580</v>
      </c>
      <c r="O583" s="3">
        <f t="shared" si="12"/>
        <v>677</v>
      </c>
      <c r="P583" s="3" t="str">
        <f t="shared" si="13"/>
        <v>CARD</v>
      </c>
      <c r="Q583" s="3" t="str">
        <f t="shared" si="14"/>
        <v>SHIPPED</v>
      </c>
    </row>
    <row r="584">
      <c r="A584" s="1" t="s">
        <v>1801</v>
      </c>
      <c r="B584" s="2">
        <f t="shared" si="1"/>
        <v>46132</v>
      </c>
      <c r="C584" s="1" t="s">
        <v>1802</v>
      </c>
      <c r="D584" s="3" t="str">
        <f t="shared" si="2"/>
        <v>SOBI</v>
      </c>
      <c r="E584" s="3" t="str">
        <f t="shared" si="3"/>
        <v>KARNATAKA</v>
      </c>
      <c r="F584" s="3" t="str">
        <f t="shared" si="4"/>
        <v>BANGALURU</v>
      </c>
      <c r="G584" s="1" t="s">
        <v>1803</v>
      </c>
      <c r="H584" s="3" t="str">
        <f t="shared" si="5"/>
        <v>HOME &amp; KITCHEN</v>
      </c>
      <c r="I584" s="3" t="str">
        <f t="shared" si="6"/>
        <v>MIXER GRAINDER</v>
      </c>
      <c r="J584" s="3">
        <f t="shared" si="7"/>
        <v>3</v>
      </c>
      <c r="K584" s="3">
        <f t="shared" si="8"/>
        <v>590</v>
      </c>
      <c r="L584" s="4">
        <f t="shared" si="9"/>
        <v>0.17</v>
      </c>
      <c r="M584" s="3">
        <f t="shared" si="10"/>
        <v>1469.1</v>
      </c>
      <c r="N584" s="3">
        <f t="shared" si="11"/>
        <v>1028</v>
      </c>
      <c r="O584" s="3">
        <f t="shared" si="12"/>
        <v>441</v>
      </c>
      <c r="P584" s="3" t="str">
        <f t="shared" si="13"/>
        <v>COD</v>
      </c>
      <c r="Q584" s="3" t="str">
        <f t="shared" si="14"/>
        <v>CANCELLED</v>
      </c>
    </row>
    <row r="585">
      <c r="A585" s="1" t="s">
        <v>1804</v>
      </c>
      <c r="B585" s="2">
        <f t="shared" si="1"/>
        <v>46113</v>
      </c>
      <c r="C585" s="1" t="s">
        <v>1805</v>
      </c>
      <c r="D585" s="3" t="str">
        <f t="shared" si="2"/>
        <v>SUJI</v>
      </c>
      <c r="E585" s="3" t="str">
        <f t="shared" si="3"/>
        <v>ANDHRA PRADESH</v>
      </c>
      <c r="F585" s="3" t="str">
        <f t="shared" si="4"/>
        <v>TIRUPATI</v>
      </c>
      <c r="G585" s="1" t="s">
        <v>1806</v>
      </c>
      <c r="H585" s="3" t="str">
        <f t="shared" si="5"/>
        <v>BOOKS</v>
      </c>
      <c r="I585" s="3" t="str">
        <f t="shared" si="6"/>
        <v>LIFE OF PI</v>
      </c>
      <c r="J585" s="3">
        <f t="shared" si="7"/>
        <v>5</v>
      </c>
      <c r="K585" s="3">
        <f t="shared" si="8"/>
        <v>163</v>
      </c>
      <c r="L585" s="4">
        <f t="shared" si="9"/>
        <v>0.5</v>
      </c>
      <c r="M585" s="3">
        <f t="shared" si="10"/>
        <v>407.5</v>
      </c>
      <c r="N585" s="3">
        <f t="shared" si="11"/>
        <v>285</v>
      </c>
      <c r="O585" s="3">
        <f t="shared" si="12"/>
        <v>123</v>
      </c>
      <c r="P585" s="3" t="str">
        <f t="shared" si="13"/>
        <v>NET BANKING</v>
      </c>
      <c r="Q585" s="3" t="str">
        <f t="shared" si="14"/>
        <v>RETURNED</v>
      </c>
    </row>
    <row r="586">
      <c r="A586" s="1" t="s">
        <v>1807</v>
      </c>
      <c r="B586" s="2">
        <f t="shared" si="1"/>
        <v>46360</v>
      </c>
      <c r="C586" s="1" t="s">
        <v>1808</v>
      </c>
      <c r="D586" s="3" t="str">
        <f t="shared" si="2"/>
        <v>RATHA</v>
      </c>
      <c r="E586" s="3" t="str">
        <f t="shared" si="3"/>
        <v>TELUGANA</v>
      </c>
      <c r="F586" s="3" t="str">
        <f t="shared" si="4"/>
        <v>HYDERABAD</v>
      </c>
      <c r="G586" s="1" t="s">
        <v>1809</v>
      </c>
      <c r="H586" s="3" t="str">
        <f t="shared" si="5"/>
        <v>ACCESSORIES</v>
      </c>
      <c r="I586" s="3" t="str">
        <f t="shared" si="6"/>
        <v>EARRINGS</v>
      </c>
      <c r="J586" s="3">
        <f t="shared" si="7"/>
        <v>4</v>
      </c>
      <c r="K586" s="3">
        <f t="shared" si="8"/>
        <v>581</v>
      </c>
      <c r="L586" s="4">
        <f t="shared" si="9"/>
        <v>0.15</v>
      </c>
      <c r="M586" s="3">
        <f t="shared" si="10"/>
        <v>1975.4</v>
      </c>
      <c r="N586" s="3">
        <f t="shared" si="11"/>
        <v>1383</v>
      </c>
      <c r="O586" s="3">
        <f t="shared" si="12"/>
        <v>592</v>
      </c>
      <c r="P586" s="3" t="str">
        <f t="shared" si="13"/>
        <v>WALLET</v>
      </c>
      <c r="Q586" s="3" t="str">
        <f t="shared" si="14"/>
        <v>DELIVERED</v>
      </c>
    </row>
    <row r="587">
      <c r="A587" s="1" t="s">
        <v>1810</v>
      </c>
      <c r="B587" s="2">
        <f t="shared" si="1"/>
        <v>46150</v>
      </c>
      <c r="C587" s="1" t="s">
        <v>1811</v>
      </c>
      <c r="D587" s="3" t="str">
        <f t="shared" si="2"/>
        <v>SUSA</v>
      </c>
      <c r="E587" s="3" t="str">
        <f t="shared" si="3"/>
        <v>UTTHRA PRADESH</v>
      </c>
      <c r="F587" s="3" t="str">
        <f t="shared" si="4"/>
        <v>LUCKNOW</v>
      </c>
      <c r="G587" s="1" t="s">
        <v>1812</v>
      </c>
      <c r="H587" s="3" t="str">
        <f t="shared" si="5"/>
        <v>ELECTRONICS</v>
      </c>
      <c r="I587" s="3" t="str">
        <f t="shared" si="6"/>
        <v>WIRELESS EARBUDS</v>
      </c>
      <c r="J587" s="3">
        <f t="shared" si="7"/>
        <v>4</v>
      </c>
      <c r="K587" s="3">
        <f t="shared" si="8"/>
        <v>112</v>
      </c>
      <c r="L587" s="4">
        <f t="shared" si="9"/>
        <v>0.1</v>
      </c>
      <c r="M587" s="3">
        <f t="shared" si="10"/>
        <v>403.2</v>
      </c>
      <c r="N587" s="3">
        <f t="shared" si="11"/>
        <v>282</v>
      </c>
      <c r="O587" s="3">
        <f t="shared" si="12"/>
        <v>121</v>
      </c>
      <c r="P587" s="3" t="str">
        <f t="shared" si="13"/>
        <v>UPI</v>
      </c>
      <c r="Q587" s="3" t="str">
        <f t="shared" si="14"/>
        <v>SHIPPED</v>
      </c>
    </row>
    <row r="588">
      <c r="A588" s="1" t="s">
        <v>1813</v>
      </c>
      <c r="B588" s="2">
        <f t="shared" si="1"/>
        <v>46077</v>
      </c>
      <c r="C588" s="1" t="s">
        <v>1814</v>
      </c>
      <c r="D588" s="3" t="str">
        <f t="shared" si="2"/>
        <v>NIVE</v>
      </c>
      <c r="E588" s="3" t="str">
        <f t="shared" si="3"/>
        <v>GUJARAT</v>
      </c>
      <c r="F588" s="3" t="str">
        <f t="shared" si="4"/>
        <v>SURAT</v>
      </c>
      <c r="G588" s="1" t="s">
        <v>1815</v>
      </c>
      <c r="H588" s="3" t="str">
        <f t="shared" si="5"/>
        <v>SPORTS</v>
      </c>
      <c r="I588" s="3" t="str">
        <f t="shared" si="6"/>
        <v>FOOTBALL</v>
      </c>
      <c r="J588" s="3">
        <f t="shared" si="7"/>
        <v>5</v>
      </c>
      <c r="K588" s="3">
        <f t="shared" si="8"/>
        <v>119</v>
      </c>
      <c r="L588" s="4">
        <f t="shared" si="9"/>
        <v>0.17</v>
      </c>
      <c r="M588" s="3">
        <f t="shared" si="10"/>
        <v>493.85</v>
      </c>
      <c r="N588" s="3">
        <f t="shared" si="11"/>
        <v>346</v>
      </c>
      <c r="O588" s="3">
        <f t="shared" si="12"/>
        <v>148</v>
      </c>
      <c r="P588" s="3" t="str">
        <f t="shared" si="13"/>
        <v>CARD</v>
      </c>
      <c r="Q588" s="3" t="str">
        <f t="shared" si="14"/>
        <v>CANCELLED</v>
      </c>
    </row>
    <row r="589">
      <c r="A589" s="1" t="s">
        <v>1816</v>
      </c>
      <c r="B589" s="2">
        <f t="shared" si="1"/>
        <v>46283</v>
      </c>
      <c r="C589" s="1" t="s">
        <v>1817</v>
      </c>
      <c r="D589" s="3" t="str">
        <f t="shared" si="2"/>
        <v>VINO</v>
      </c>
      <c r="E589" s="3" t="str">
        <f t="shared" si="3"/>
        <v>RAJASTHAN</v>
      </c>
      <c r="F589" s="3" t="str">
        <f t="shared" si="4"/>
        <v>JAIPUR</v>
      </c>
      <c r="G589" s="1" t="s">
        <v>1818</v>
      </c>
      <c r="H589" s="3" t="str">
        <f t="shared" si="5"/>
        <v>FOOD</v>
      </c>
      <c r="I589" s="3" t="str">
        <f t="shared" si="6"/>
        <v>BIRIYANI</v>
      </c>
      <c r="J589" s="3">
        <f t="shared" si="7"/>
        <v>1</v>
      </c>
      <c r="K589" s="3">
        <f t="shared" si="8"/>
        <v>477</v>
      </c>
      <c r="L589" s="4">
        <f t="shared" si="9"/>
        <v>0.17</v>
      </c>
      <c r="M589" s="3">
        <f t="shared" si="10"/>
        <v>395.91</v>
      </c>
      <c r="N589" s="3">
        <f t="shared" si="11"/>
        <v>277</v>
      </c>
      <c r="O589" s="3">
        <f t="shared" si="12"/>
        <v>119</v>
      </c>
      <c r="P589" s="3" t="str">
        <f t="shared" si="13"/>
        <v>COD</v>
      </c>
      <c r="Q589" s="3" t="str">
        <f t="shared" si="14"/>
        <v>RETURNED</v>
      </c>
    </row>
    <row r="590">
      <c r="A590" s="1" t="s">
        <v>1819</v>
      </c>
      <c r="B590" s="2">
        <f t="shared" si="1"/>
        <v>46232</v>
      </c>
      <c r="C590" s="1" t="s">
        <v>1820</v>
      </c>
      <c r="D590" s="3" t="str">
        <f t="shared" si="2"/>
        <v>ABI</v>
      </c>
      <c r="E590" s="3" t="str">
        <f t="shared" si="3"/>
        <v>WEST BENGAL</v>
      </c>
      <c r="F590" s="3" t="str">
        <f t="shared" si="4"/>
        <v>KOLKATA</v>
      </c>
      <c r="G590" s="1" t="s">
        <v>1821</v>
      </c>
      <c r="H590" s="3" t="str">
        <f t="shared" si="5"/>
        <v>DRESS</v>
      </c>
      <c r="I590" s="3" t="str">
        <f t="shared" si="6"/>
        <v>WOMEN WAERS</v>
      </c>
      <c r="J590" s="3">
        <f t="shared" si="7"/>
        <v>1</v>
      </c>
      <c r="K590" s="3">
        <f t="shared" si="8"/>
        <v>430</v>
      </c>
      <c r="L590" s="4">
        <f t="shared" si="9"/>
        <v>0.5</v>
      </c>
      <c r="M590" s="3">
        <f t="shared" si="10"/>
        <v>215</v>
      </c>
      <c r="N590" s="3">
        <f t="shared" si="11"/>
        <v>151</v>
      </c>
      <c r="O590" s="3">
        <f t="shared" si="12"/>
        <v>64</v>
      </c>
      <c r="P590" s="3" t="str">
        <f t="shared" si="13"/>
        <v>NET BANKING</v>
      </c>
      <c r="Q590" s="3" t="str">
        <f t="shared" si="14"/>
        <v>DELIVERED</v>
      </c>
    </row>
    <row r="591">
      <c r="A591" s="1" t="s">
        <v>1822</v>
      </c>
      <c r="B591" s="2">
        <f t="shared" si="1"/>
        <v>46197</v>
      </c>
      <c r="C591" s="1" t="s">
        <v>1823</v>
      </c>
      <c r="D591" s="3" t="str">
        <f t="shared" si="2"/>
        <v>NIHAAR</v>
      </c>
      <c r="E591" s="3" t="str">
        <f t="shared" si="3"/>
        <v>MAGARASTRA</v>
      </c>
      <c r="F591" s="3" t="str">
        <f t="shared" si="4"/>
        <v>PUNE</v>
      </c>
      <c r="G591" s="1" t="s">
        <v>1824</v>
      </c>
      <c r="H591" s="3" t="str">
        <f t="shared" si="5"/>
        <v>BEAUTY</v>
      </c>
      <c r="I591" s="3" t="str">
        <f t="shared" si="6"/>
        <v>KAJAL</v>
      </c>
      <c r="J591" s="3">
        <f t="shared" si="7"/>
        <v>1</v>
      </c>
      <c r="K591" s="3">
        <f t="shared" si="8"/>
        <v>204</v>
      </c>
      <c r="L591" s="4">
        <f t="shared" si="9"/>
        <v>0</v>
      </c>
      <c r="M591" s="3">
        <f t="shared" si="10"/>
        <v>204</v>
      </c>
      <c r="N591" s="3">
        <f t="shared" si="11"/>
        <v>143</v>
      </c>
      <c r="O591" s="3">
        <f t="shared" si="12"/>
        <v>61</v>
      </c>
      <c r="P591" s="3" t="str">
        <f t="shared" si="13"/>
        <v>WALLET</v>
      </c>
      <c r="Q591" s="3" t="str">
        <f t="shared" si="14"/>
        <v>SHIPPED</v>
      </c>
    </row>
    <row r="592">
      <c r="A592" s="1" t="s">
        <v>1825</v>
      </c>
      <c r="B592" s="2">
        <f t="shared" si="1"/>
        <v>46060</v>
      </c>
      <c r="C592" s="1" t="s">
        <v>1826</v>
      </c>
      <c r="D592" s="3" t="str">
        <f t="shared" si="2"/>
        <v>SRI</v>
      </c>
      <c r="E592" s="3" t="str">
        <f t="shared" si="3"/>
        <v>TAMILNADU</v>
      </c>
      <c r="F592" s="3" t="str">
        <f t="shared" si="4"/>
        <v>THOOTHUKUDI</v>
      </c>
      <c r="G592" s="1" t="s">
        <v>1827</v>
      </c>
      <c r="H592" s="3" t="str">
        <f t="shared" si="5"/>
        <v>HOME &amp; KITCHEN</v>
      </c>
      <c r="I592" s="3" t="str">
        <f t="shared" si="6"/>
        <v>MIXER GRAINDER</v>
      </c>
      <c r="J592" s="3">
        <f t="shared" si="7"/>
        <v>3</v>
      </c>
      <c r="K592" s="3">
        <f t="shared" si="8"/>
        <v>591</v>
      </c>
      <c r="L592" s="4">
        <f t="shared" si="9"/>
        <v>0.2</v>
      </c>
      <c r="M592" s="3">
        <f t="shared" si="10"/>
        <v>1418.4</v>
      </c>
      <c r="N592" s="3">
        <f t="shared" si="11"/>
        <v>993</v>
      </c>
      <c r="O592" s="3">
        <f t="shared" si="12"/>
        <v>425</v>
      </c>
      <c r="P592" s="3" t="str">
        <f t="shared" si="13"/>
        <v>UPI</v>
      </c>
      <c r="Q592" s="3" t="str">
        <f t="shared" si="14"/>
        <v>CANCELLED</v>
      </c>
    </row>
    <row r="593">
      <c r="A593" s="1" t="s">
        <v>1828</v>
      </c>
      <c r="B593" s="2">
        <f t="shared" si="1"/>
        <v>46377</v>
      </c>
      <c r="C593" s="1" t="s">
        <v>1829</v>
      </c>
      <c r="D593" s="3" t="str">
        <f t="shared" si="2"/>
        <v>SHOBN</v>
      </c>
      <c r="E593" s="3" t="str">
        <f t="shared" si="3"/>
        <v>KERALA</v>
      </c>
      <c r="F593" s="3" t="str">
        <f t="shared" si="4"/>
        <v>KOCHI</v>
      </c>
      <c r="G593" s="1" t="s">
        <v>1830</v>
      </c>
      <c r="H593" s="3" t="str">
        <f t="shared" si="5"/>
        <v>BOOKS</v>
      </c>
      <c r="I593" s="3" t="str">
        <f t="shared" si="6"/>
        <v>LIFE OF PI</v>
      </c>
      <c r="J593" s="3">
        <f t="shared" si="7"/>
        <v>1</v>
      </c>
      <c r="K593" s="3">
        <f t="shared" si="8"/>
        <v>284</v>
      </c>
      <c r="L593" s="4">
        <f t="shared" si="9"/>
        <v>0.15</v>
      </c>
      <c r="M593" s="3">
        <f t="shared" si="10"/>
        <v>241.4</v>
      </c>
      <c r="N593" s="3">
        <f t="shared" si="11"/>
        <v>169</v>
      </c>
      <c r="O593" s="3">
        <f t="shared" si="12"/>
        <v>72</v>
      </c>
      <c r="P593" s="3" t="str">
        <f t="shared" si="13"/>
        <v>CARD</v>
      </c>
      <c r="Q593" s="3" t="str">
        <f t="shared" si="14"/>
        <v>RETURNED</v>
      </c>
    </row>
    <row r="594">
      <c r="A594" s="1" t="s">
        <v>1831</v>
      </c>
      <c r="B594" s="2">
        <f t="shared" si="1"/>
        <v>46080</v>
      </c>
      <c r="C594" s="1" t="s">
        <v>1832</v>
      </c>
      <c r="D594" s="3" t="str">
        <f t="shared" si="2"/>
        <v>SOBI</v>
      </c>
      <c r="E594" s="3" t="str">
        <f t="shared" si="3"/>
        <v>KARNATAKA</v>
      </c>
      <c r="F594" s="3" t="str">
        <f t="shared" si="4"/>
        <v>BANGALURU</v>
      </c>
      <c r="G594" s="1" t="s">
        <v>1833</v>
      </c>
      <c r="H594" s="3" t="str">
        <f t="shared" si="5"/>
        <v>ACCESSORIES</v>
      </c>
      <c r="I594" s="3" t="str">
        <f t="shared" si="6"/>
        <v>EARRINGS</v>
      </c>
      <c r="J594" s="3">
        <f t="shared" si="7"/>
        <v>5</v>
      </c>
      <c r="K594" s="3">
        <f t="shared" si="8"/>
        <v>149</v>
      </c>
      <c r="L594" s="4">
        <f t="shared" si="9"/>
        <v>0.1</v>
      </c>
      <c r="M594" s="3">
        <f t="shared" si="10"/>
        <v>670.5</v>
      </c>
      <c r="N594" s="3">
        <f t="shared" si="11"/>
        <v>469</v>
      </c>
      <c r="O594" s="3">
        <f t="shared" si="12"/>
        <v>202</v>
      </c>
      <c r="P594" s="3" t="str">
        <f t="shared" si="13"/>
        <v>COD</v>
      </c>
      <c r="Q594" s="3" t="str">
        <f t="shared" si="14"/>
        <v>DELIVERED</v>
      </c>
    </row>
    <row r="595">
      <c r="A595" s="1" t="s">
        <v>1834</v>
      </c>
      <c r="B595" s="2">
        <f t="shared" si="1"/>
        <v>46119</v>
      </c>
      <c r="C595" s="1" t="s">
        <v>1835</v>
      </c>
      <c r="D595" s="3" t="str">
        <f t="shared" si="2"/>
        <v>SUJI</v>
      </c>
      <c r="E595" s="3" t="str">
        <f t="shared" si="3"/>
        <v>ANDHRA PRADESH</v>
      </c>
      <c r="F595" s="3" t="str">
        <f t="shared" si="4"/>
        <v>TIRUPATI</v>
      </c>
      <c r="G595" s="1" t="s">
        <v>1836</v>
      </c>
      <c r="H595" s="3" t="str">
        <f t="shared" si="5"/>
        <v>ELECTRONICS</v>
      </c>
      <c r="I595" s="3" t="str">
        <f t="shared" si="6"/>
        <v>WIRELESS EARBUDS</v>
      </c>
      <c r="J595" s="3">
        <f t="shared" si="7"/>
        <v>5</v>
      </c>
      <c r="K595" s="3">
        <f t="shared" si="8"/>
        <v>405</v>
      </c>
      <c r="L595" s="4">
        <f t="shared" si="9"/>
        <v>0.17</v>
      </c>
      <c r="M595" s="3">
        <f t="shared" si="10"/>
        <v>1680.75</v>
      </c>
      <c r="N595" s="3">
        <f t="shared" si="11"/>
        <v>1177</v>
      </c>
      <c r="O595" s="3">
        <f t="shared" si="12"/>
        <v>504</v>
      </c>
      <c r="P595" s="3" t="str">
        <f t="shared" si="13"/>
        <v>NET BANKING</v>
      </c>
      <c r="Q595" s="3" t="str">
        <f t="shared" si="14"/>
        <v>SHIPPED</v>
      </c>
    </row>
    <row r="596">
      <c r="A596" s="1" t="s">
        <v>1837</v>
      </c>
      <c r="B596" s="2">
        <f t="shared" si="1"/>
        <v>46031</v>
      </c>
      <c r="C596" s="1" t="s">
        <v>1838</v>
      </c>
      <c r="D596" s="3" t="str">
        <f t="shared" si="2"/>
        <v>RATHA</v>
      </c>
      <c r="E596" s="3" t="str">
        <f t="shared" si="3"/>
        <v>TELUGANA</v>
      </c>
      <c r="F596" s="3" t="str">
        <f t="shared" si="4"/>
        <v>HYDERABAD</v>
      </c>
      <c r="G596" s="1" t="s">
        <v>1839</v>
      </c>
      <c r="H596" s="3" t="str">
        <f t="shared" si="5"/>
        <v>SPORTS</v>
      </c>
      <c r="I596" s="3" t="str">
        <f t="shared" si="6"/>
        <v>FOOTBALL</v>
      </c>
      <c r="J596" s="3">
        <f t="shared" si="7"/>
        <v>5</v>
      </c>
      <c r="K596" s="3">
        <f t="shared" si="8"/>
        <v>191</v>
      </c>
      <c r="L596" s="4">
        <f t="shared" si="9"/>
        <v>0.5</v>
      </c>
      <c r="M596" s="3">
        <f t="shared" si="10"/>
        <v>477.5</v>
      </c>
      <c r="N596" s="3">
        <f t="shared" si="11"/>
        <v>334</v>
      </c>
      <c r="O596" s="3">
        <f t="shared" si="12"/>
        <v>144</v>
      </c>
      <c r="P596" s="3" t="str">
        <f t="shared" si="13"/>
        <v>WALLET</v>
      </c>
      <c r="Q596" s="3" t="str">
        <f t="shared" si="14"/>
        <v>CANCELLED</v>
      </c>
    </row>
    <row r="597">
      <c r="A597" s="1" t="s">
        <v>1840</v>
      </c>
      <c r="B597" s="2">
        <f t="shared" si="1"/>
        <v>46261</v>
      </c>
      <c r="C597" s="1" t="s">
        <v>1841</v>
      </c>
      <c r="D597" s="3" t="str">
        <f t="shared" si="2"/>
        <v>SUSA</v>
      </c>
      <c r="E597" s="3" t="str">
        <f t="shared" si="3"/>
        <v>UTTHRA PRADESH</v>
      </c>
      <c r="F597" s="3" t="str">
        <f t="shared" si="4"/>
        <v>LUCKNOW</v>
      </c>
      <c r="G597" s="1" t="s">
        <v>1842</v>
      </c>
      <c r="H597" s="3" t="str">
        <f t="shared" si="5"/>
        <v>FOOD</v>
      </c>
      <c r="I597" s="3" t="str">
        <f t="shared" si="6"/>
        <v>BIRIYANI</v>
      </c>
      <c r="J597" s="3">
        <f t="shared" si="7"/>
        <v>5</v>
      </c>
      <c r="K597" s="3">
        <f t="shared" si="8"/>
        <v>449</v>
      </c>
      <c r="L597" s="4">
        <f t="shared" si="9"/>
        <v>0.5</v>
      </c>
      <c r="M597" s="3">
        <f t="shared" si="10"/>
        <v>1122.5</v>
      </c>
      <c r="N597" s="3">
        <f t="shared" si="11"/>
        <v>786</v>
      </c>
      <c r="O597" s="3">
        <f t="shared" si="12"/>
        <v>337</v>
      </c>
      <c r="P597" s="3" t="str">
        <f t="shared" si="13"/>
        <v>UPI</v>
      </c>
      <c r="Q597" s="3" t="str">
        <f t="shared" si="14"/>
        <v>RETURNED</v>
      </c>
    </row>
    <row r="598">
      <c r="A598" s="1" t="s">
        <v>1843</v>
      </c>
      <c r="B598" s="2">
        <f t="shared" si="1"/>
        <v>46361</v>
      </c>
      <c r="C598" s="1" t="s">
        <v>1844</v>
      </c>
      <c r="D598" s="3" t="str">
        <f t="shared" si="2"/>
        <v>NIVE</v>
      </c>
      <c r="E598" s="3" t="str">
        <f t="shared" si="3"/>
        <v>GUJARAT</v>
      </c>
      <c r="F598" s="3" t="str">
        <f t="shared" si="4"/>
        <v>SURAT</v>
      </c>
      <c r="G598" s="1" t="s">
        <v>1845</v>
      </c>
      <c r="H598" s="3" t="str">
        <f t="shared" si="5"/>
        <v>DRESS</v>
      </c>
      <c r="I598" s="3" t="str">
        <f t="shared" si="6"/>
        <v>WOMEN WAERS</v>
      </c>
      <c r="J598" s="3">
        <f t="shared" si="7"/>
        <v>1</v>
      </c>
      <c r="K598" s="3">
        <f t="shared" si="8"/>
        <v>362</v>
      </c>
      <c r="L598" s="4">
        <f t="shared" si="9"/>
        <v>0.5</v>
      </c>
      <c r="M598" s="3">
        <f t="shared" si="10"/>
        <v>181</v>
      </c>
      <c r="N598" s="3">
        <f t="shared" si="11"/>
        <v>127</v>
      </c>
      <c r="O598" s="3">
        <f t="shared" si="12"/>
        <v>54</v>
      </c>
      <c r="P598" s="3" t="str">
        <f t="shared" si="13"/>
        <v>CARD</v>
      </c>
      <c r="Q598" s="3" t="str">
        <f t="shared" si="14"/>
        <v>DELIVERED</v>
      </c>
    </row>
    <row r="599">
      <c r="A599" s="1" t="s">
        <v>1846</v>
      </c>
      <c r="B599" s="2">
        <f t="shared" si="1"/>
        <v>46338</v>
      </c>
      <c r="C599" s="1" t="s">
        <v>1847</v>
      </c>
      <c r="D599" s="3" t="str">
        <f t="shared" si="2"/>
        <v>VINO</v>
      </c>
      <c r="E599" s="3" t="str">
        <f t="shared" si="3"/>
        <v>RAJASTHAN</v>
      </c>
      <c r="F599" s="3" t="str">
        <f t="shared" si="4"/>
        <v>JAIPUR</v>
      </c>
      <c r="G599" s="1" t="s">
        <v>1848</v>
      </c>
      <c r="H599" s="3" t="str">
        <f t="shared" si="5"/>
        <v>BEAUTY</v>
      </c>
      <c r="I599" s="3" t="str">
        <f t="shared" si="6"/>
        <v>KAJAL</v>
      </c>
      <c r="J599" s="3">
        <f t="shared" si="7"/>
        <v>4</v>
      </c>
      <c r="K599" s="3">
        <f t="shared" si="8"/>
        <v>132</v>
      </c>
      <c r="L599" s="4">
        <f t="shared" si="9"/>
        <v>0.17</v>
      </c>
      <c r="M599" s="3">
        <f t="shared" si="10"/>
        <v>438.24</v>
      </c>
      <c r="N599" s="3">
        <f t="shared" si="11"/>
        <v>307</v>
      </c>
      <c r="O599" s="3">
        <f t="shared" si="12"/>
        <v>131</v>
      </c>
      <c r="P599" s="3" t="str">
        <f t="shared" si="13"/>
        <v>COD</v>
      </c>
      <c r="Q599" s="3" t="str">
        <f t="shared" si="14"/>
        <v>SHIPPED</v>
      </c>
    </row>
    <row r="600">
      <c r="A600" s="1" t="s">
        <v>1849</v>
      </c>
      <c r="B600" s="2">
        <f t="shared" si="1"/>
        <v>46287</v>
      </c>
      <c r="C600" s="1" t="s">
        <v>1850</v>
      </c>
      <c r="D600" s="3" t="str">
        <f t="shared" si="2"/>
        <v>ABI</v>
      </c>
      <c r="E600" s="3" t="str">
        <f t="shared" si="3"/>
        <v>WEST BENGAL</v>
      </c>
      <c r="F600" s="3" t="str">
        <f t="shared" si="4"/>
        <v>KOLKATA</v>
      </c>
      <c r="G600" s="1" t="s">
        <v>1851</v>
      </c>
      <c r="H600" s="3" t="str">
        <f t="shared" si="5"/>
        <v>HOME &amp; KITCHEN</v>
      </c>
      <c r="I600" s="3" t="str">
        <f t="shared" si="6"/>
        <v>MIXER GRAINDER</v>
      </c>
      <c r="J600" s="3">
        <f t="shared" si="7"/>
        <v>5</v>
      </c>
      <c r="K600" s="3">
        <f t="shared" si="8"/>
        <v>563</v>
      </c>
      <c r="L600" s="4">
        <f t="shared" si="9"/>
        <v>0.15</v>
      </c>
      <c r="M600" s="3">
        <f t="shared" si="10"/>
        <v>2392.75</v>
      </c>
      <c r="N600" s="3">
        <f t="shared" si="11"/>
        <v>1675</v>
      </c>
      <c r="O600" s="3">
        <f t="shared" si="12"/>
        <v>718</v>
      </c>
      <c r="P600" s="3" t="str">
        <f t="shared" si="13"/>
        <v>NET BANKING</v>
      </c>
      <c r="Q600" s="3" t="str">
        <f t="shared" si="14"/>
        <v>CANCELLED</v>
      </c>
    </row>
    <row r="601">
      <c r="A601" s="1" t="s">
        <v>1852</v>
      </c>
      <c r="B601" s="2">
        <f t="shared" si="1"/>
        <v>46282</v>
      </c>
      <c r="C601" s="1" t="s">
        <v>1853</v>
      </c>
      <c r="D601" s="3" t="str">
        <f t="shared" si="2"/>
        <v>NIHAAR</v>
      </c>
      <c r="E601" s="3" t="str">
        <f t="shared" si="3"/>
        <v>MAGARASTRA</v>
      </c>
      <c r="F601" s="3" t="str">
        <f t="shared" si="4"/>
        <v>PUNE</v>
      </c>
      <c r="G601" s="1" t="s">
        <v>1854</v>
      </c>
      <c r="H601" s="3" t="str">
        <f t="shared" si="5"/>
        <v>BOOKS</v>
      </c>
      <c r="I601" s="3" t="str">
        <f t="shared" si="6"/>
        <v>LIFE OF PI</v>
      </c>
      <c r="J601" s="3">
        <f t="shared" si="7"/>
        <v>3</v>
      </c>
      <c r="K601" s="3">
        <f t="shared" si="8"/>
        <v>220</v>
      </c>
      <c r="L601" s="4">
        <f t="shared" si="9"/>
        <v>0.2</v>
      </c>
      <c r="M601" s="3">
        <f t="shared" si="10"/>
        <v>528</v>
      </c>
      <c r="N601" s="3">
        <f t="shared" si="11"/>
        <v>370</v>
      </c>
      <c r="O601" s="3">
        <f t="shared" si="12"/>
        <v>158</v>
      </c>
      <c r="P601" s="3" t="str">
        <f t="shared" si="13"/>
        <v>WALLET</v>
      </c>
      <c r="Q601" s="3" t="str">
        <f t="shared" si="14"/>
        <v>RETURNED</v>
      </c>
    </row>
    <row r="602">
      <c r="A602" s="1" t="s">
        <v>1855</v>
      </c>
      <c r="B602" s="2">
        <f t="shared" si="1"/>
        <v>46306</v>
      </c>
      <c r="C602" s="1" t="s">
        <v>1856</v>
      </c>
      <c r="D602" s="3" t="str">
        <f t="shared" si="2"/>
        <v>SRI</v>
      </c>
      <c r="E602" s="3" t="str">
        <f t="shared" si="3"/>
        <v>TAMILNADU</v>
      </c>
      <c r="F602" s="3" t="str">
        <f t="shared" si="4"/>
        <v>THOOTHUKUDI</v>
      </c>
      <c r="G602" s="1" t="s">
        <v>1857</v>
      </c>
      <c r="H602" s="3" t="str">
        <f t="shared" si="5"/>
        <v>ACCESSORIES</v>
      </c>
      <c r="I602" s="3" t="str">
        <f t="shared" si="6"/>
        <v>EARRINGS</v>
      </c>
      <c r="J602" s="3">
        <f t="shared" si="7"/>
        <v>1</v>
      </c>
      <c r="K602" s="3">
        <f t="shared" si="8"/>
        <v>450</v>
      </c>
      <c r="L602" s="4">
        <f t="shared" si="9"/>
        <v>0</v>
      </c>
      <c r="M602" s="3">
        <f t="shared" si="10"/>
        <v>450</v>
      </c>
      <c r="N602" s="3">
        <f t="shared" si="11"/>
        <v>315</v>
      </c>
      <c r="O602" s="3">
        <f t="shared" si="12"/>
        <v>135</v>
      </c>
      <c r="P602" s="3" t="str">
        <f t="shared" si="13"/>
        <v>UPI</v>
      </c>
      <c r="Q602" s="3" t="str">
        <f t="shared" si="14"/>
        <v>DELIVERED</v>
      </c>
    </row>
    <row r="603">
      <c r="A603" s="1" t="s">
        <v>1858</v>
      </c>
      <c r="B603" s="2">
        <f t="shared" si="1"/>
        <v>46031</v>
      </c>
      <c r="C603" s="1" t="s">
        <v>1859</v>
      </c>
      <c r="D603" s="3" t="str">
        <f t="shared" si="2"/>
        <v>SHOBN</v>
      </c>
      <c r="E603" s="3" t="str">
        <f t="shared" si="3"/>
        <v>KERALA</v>
      </c>
      <c r="F603" s="3" t="str">
        <f t="shared" si="4"/>
        <v>KOCHI</v>
      </c>
      <c r="G603" s="1" t="s">
        <v>1860</v>
      </c>
      <c r="H603" s="3" t="str">
        <f t="shared" si="5"/>
        <v>ELECTRONICS</v>
      </c>
      <c r="I603" s="3" t="str">
        <f t="shared" si="6"/>
        <v>WIRELESS EARBUDS</v>
      </c>
      <c r="J603" s="3">
        <f t="shared" si="7"/>
        <v>3</v>
      </c>
      <c r="K603" s="3">
        <f t="shared" si="8"/>
        <v>564</v>
      </c>
      <c r="L603" s="4">
        <f t="shared" si="9"/>
        <v>0.5</v>
      </c>
      <c r="M603" s="3">
        <f t="shared" si="10"/>
        <v>846</v>
      </c>
      <c r="N603" s="3">
        <f t="shared" si="11"/>
        <v>592</v>
      </c>
      <c r="O603" s="3">
        <f t="shared" si="12"/>
        <v>254</v>
      </c>
      <c r="P603" s="3" t="str">
        <f t="shared" si="13"/>
        <v>CARD</v>
      </c>
      <c r="Q603" s="3" t="str">
        <f t="shared" si="14"/>
        <v>SHIPPED</v>
      </c>
    </row>
    <row r="604">
      <c r="A604" s="1" t="s">
        <v>1861</v>
      </c>
      <c r="B604" s="2">
        <f t="shared" si="1"/>
        <v>46145</v>
      </c>
      <c r="C604" s="1" t="s">
        <v>1862</v>
      </c>
      <c r="D604" s="3" t="str">
        <f t="shared" si="2"/>
        <v>SOBI</v>
      </c>
      <c r="E604" s="3" t="str">
        <f t="shared" si="3"/>
        <v>KARNATAKA</v>
      </c>
      <c r="F604" s="3" t="str">
        <f t="shared" si="4"/>
        <v>BANGALURU</v>
      </c>
      <c r="G604" s="1" t="s">
        <v>1863</v>
      </c>
      <c r="H604" s="3" t="str">
        <f t="shared" si="5"/>
        <v>SPORTS</v>
      </c>
      <c r="I604" s="3" t="str">
        <f t="shared" si="6"/>
        <v>FOOTBALL</v>
      </c>
      <c r="J604" s="3">
        <f t="shared" si="7"/>
        <v>1</v>
      </c>
      <c r="K604" s="3">
        <f t="shared" si="8"/>
        <v>500</v>
      </c>
      <c r="L604" s="4">
        <f t="shared" si="9"/>
        <v>0.5</v>
      </c>
      <c r="M604" s="3">
        <f t="shared" si="10"/>
        <v>250</v>
      </c>
      <c r="N604" s="3">
        <f t="shared" si="11"/>
        <v>175</v>
      </c>
      <c r="O604" s="3">
        <f t="shared" si="12"/>
        <v>75</v>
      </c>
      <c r="P604" s="3" t="str">
        <f t="shared" si="13"/>
        <v>COD</v>
      </c>
      <c r="Q604" s="3" t="str">
        <f t="shared" si="14"/>
        <v>CANCELLED</v>
      </c>
    </row>
    <row r="605">
      <c r="A605" s="1" t="s">
        <v>1864</v>
      </c>
      <c r="B605" s="2">
        <f t="shared" si="1"/>
        <v>46035</v>
      </c>
      <c r="C605" s="1" t="s">
        <v>1865</v>
      </c>
      <c r="D605" s="3" t="str">
        <f t="shared" si="2"/>
        <v>SUJI</v>
      </c>
      <c r="E605" s="3" t="str">
        <f t="shared" si="3"/>
        <v>ANDHRA PRADESH</v>
      </c>
      <c r="F605" s="3" t="str">
        <f t="shared" si="4"/>
        <v>TIRUPATI</v>
      </c>
      <c r="G605" s="1" t="s">
        <v>1866</v>
      </c>
      <c r="H605" s="3" t="str">
        <f t="shared" si="5"/>
        <v>FOOD</v>
      </c>
      <c r="I605" s="3" t="str">
        <f t="shared" si="6"/>
        <v>BIRIYANI</v>
      </c>
      <c r="J605" s="3">
        <f t="shared" si="7"/>
        <v>4</v>
      </c>
      <c r="K605" s="3">
        <f t="shared" si="8"/>
        <v>275</v>
      </c>
      <c r="L605" s="4">
        <f t="shared" si="9"/>
        <v>0.1</v>
      </c>
      <c r="M605" s="3">
        <f t="shared" si="10"/>
        <v>990</v>
      </c>
      <c r="N605" s="3">
        <f t="shared" si="11"/>
        <v>693</v>
      </c>
      <c r="O605" s="3">
        <f t="shared" si="12"/>
        <v>297</v>
      </c>
      <c r="P605" s="3" t="str">
        <f t="shared" si="13"/>
        <v>NET BANKING</v>
      </c>
      <c r="Q605" s="3" t="str">
        <f t="shared" si="14"/>
        <v>RETURNED</v>
      </c>
    </row>
    <row r="606">
      <c r="A606" s="1" t="s">
        <v>1867</v>
      </c>
      <c r="B606" s="2">
        <f t="shared" si="1"/>
        <v>46078</v>
      </c>
      <c r="C606" s="1" t="s">
        <v>1868</v>
      </c>
      <c r="D606" s="3" t="str">
        <f t="shared" si="2"/>
        <v>RATHA</v>
      </c>
      <c r="E606" s="3" t="str">
        <f t="shared" si="3"/>
        <v>TELUGANA</v>
      </c>
      <c r="F606" s="3" t="str">
        <f t="shared" si="4"/>
        <v>HYDERABAD</v>
      </c>
      <c r="G606" s="1" t="s">
        <v>1869</v>
      </c>
      <c r="H606" s="3" t="str">
        <f t="shared" si="5"/>
        <v>DRESS</v>
      </c>
      <c r="I606" s="3" t="str">
        <f t="shared" si="6"/>
        <v>WOMEN WAERS</v>
      </c>
      <c r="J606" s="3">
        <f t="shared" si="7"/>
        <v>5</v>
      </c>
      <c r="K606" s="3">
        <f t="shared" si="8"/>
        <v>278</v>
      </c>
      <c r="L606" s="4">
        <f t="shared" si="9"/>
        <v>0.17</v>
      </c>
      <c r="M606" s="3">
        <f t="shared" si="10"/>
        <v>1153.7</v>
      </c>
      <c r="N606" s="3">
        <f t="shared" si="11"/>
        <v>808</v>
      </c>
      <c r="O606" s="3">
        <f t="shared" si="12"/>
        <v>346</v>
      </c>
      <c r="P606" s="3" t="str">
        <f t="shared" si="13"/>
        <v>WALLET</v>
      </c>
      <c r="Q606" s="3" t="str">
        <f t="shared" si="14"/>
        <v>DELIVERED</v>
      </c>
    </row>
    <row r="607">
      <c r="A607" s="1" t="s">
        <v>1870</v>
      </c>
      <c r="B607" s="2">
        <f t="shared" si="1"/>
        <v>46167</v>
      </c>
      <c r="C607" s="1" t="s">
        <v>1871</v>
      </c>
      <c r="D607" s="3" t="str">
        <f t="shared" si="2"/>
        <v>SUSA</v>
      </c>
      <c r="E607" s="3" t="str">
        <f t="shared" si="3"/>
        <v>UTTHRA PRADESH</v>
      </c>
      <c r="F607" s="3" t="str">
        <f t="shared" si="4"/>
        <v>LUCKNOW</v>
      </c>
      <c r="G607" s="1" t="s">
        <v>1872</v>
      </c>
      <c r="H607" s="3" t="str">
        <f t="shared" si="5"/>
        <v>BEAUTY</v>
      </c>
      <c r="I607" s="3" t="str">
        <f t="shared" si="6"/>
        <v>KAJAL</v>
      </c>
      <c r="J607" s="3">
        <f t="shared" si="7"/>
        <v>3</v>
      </c>
      <c r="K607" s="3">
        <f t="shared" si="8"/>
        <v>162</v>
      </c>
      <c r="L607" s="4">
        <f t="shared" si="9"/>
        <v>0.17</v>
      </c>
      <c r="M607" s="3">
        <f t="shared" si="10"/>
        <v>403.38</v>
      </c>
      <c r="N607" s="3">
        <f t="shared" si="11"/>
        <v>282</v>
      </c>
      <c r="O607" s="3">
        <f t="shared" si="12"/>
        <v>121</v>
      </c>
      <c r="P607" s="3" t="str">
        <f t="shared" si="13"/>
        <v>UPI</v>
      </c>
      <c r="Q607" s="3" t="str">
        <f t="shared" si="14"/>
        <v>SHIPPED</v>
      </c>
    </row>
    <row r="608">
      <c r="A608" s="1" t="s">
        <v>1873</v>
      </c>
      <c r="B608" s="2">
        <f t="shared" si="1"/>
        <v>46052</v>
      </c>
      <c r="C608" s="1" t="s">
        <v>1874</v>
      </c>
      <c r="D608" s="3" t="str">
        <f t="shared" si="2"/>
        <v>NIVE</v>
      </c>
      <c r="E608" s="3" t="str">
        <f t="shared" si="3"/>
        <v>GUJARAT</v>
      </c>
      <c r="F608" s="3" t="str">
        <f t="shared" si="4"/>
        <v>SURAT</v>
      </c>
      <c r="G608" s="1" t="s">
        <v>1875</v>
      </c>
      <c r="H608" s="3" t="str">
        <f t="shared" si="5"/>
        <v>HOME &amp; KITCHEN</v>
      </c>
      <c r="I608" s="3" t="str">
        <f t="shared" si="6"/>
        <v>MIXER GRAINDER</v>
      </c>
      <c r="J608" s="3">
        <f t="shared" si="7"/>
        <v>4</v>
      </c>
      <c r="K608" s="3">
        <f t="shared" si="8"/>
        <v>360</v>
      </c>
      <c r="L608" s="4">
        <f t="shared" si="9"/>
        <v>0</v>
      </c>
      <c r="M608" s="3">
        <f t="shared" si="10"/>
        <v>1440</v>
      </c>
      <c r="N608" s="3">
        <f t="shared" si="11"/>
        <v>1008</v>
      </c>
      <c r="O608" s="3">
        <f t="shared" si="12"/>
        <v>432</v>
      </c>
      <c r="P608" s="3" t="str">
        <f t="shared" si="13"/>
        <v>CARD</v>
      </c>
      <c r="Q608" s="3" t="str">
        <f t="shared" si="14"/>
        <v>CANCELLED</v>
      </c>
    </row>
    <row r="609">
      <c r="A609" s="1" t="s">
        <v>1876</v>
      </c>
      <c r="B609" s="2">
        <f t="shared" si="1"/>
        <v>46194</v>
      </c>
      <c r="C609" s="1" t="s">
        <v>1877</v>
      </c>
      <c r="D609" s="3" t="str">
        <f t="shared" si="2"/>
        <v>VINO</v>
      </c>
      <c r="E609" s="3" t="str">
        <f t="shared" si="3"/>
        <v>RAJASTHAN</v>
      </c>
      <c r="F609" s="3" t="str">
        <f t="shared" si="4"/>
        <v>JAIPUR</v>
      </c>
      <c r="G609" s="1" t="s">
        <v>1878</v>
      </c>
      <c r="H609" s="3" t="str">
        <f t="shared" si="5"/>
        <v>BOOKS</v>
      </c>
      <c r="I609" s="3" t="str">
        <f t="shared" si="6"/>
        <v>LIFE OF PI</v>
      </c>
      <c r="J609" s="3">
        <f t="shared" si="7"/>
        <v>3</v>
      </c>
      <c r="K609" s="3">
        <f t="shared" si="8"/>
        <v>400</v>
      </c>
      <c r="L609" s="4">
        <f t="shared" si="9"/>
        <v>0</v>
      </c>
      <c r="M609" s="3">
        <f t="shared" si="10"/>
        <v>1200</v>
      </c>
      <c r="N609" s="3">
        <f t="shared" si="11"/>
        <v>840</v>
      </c>
      <c r="O609" s="3">
        <f t="shared" si="12"/>
        <v>360</v>
      </c>
      <c r="P609" s="3" t="str">
        <f t="shared" si="13"/>
        <v>COD</v>
      </c>
      <c r="Q609" s="3" t="str">
        <f t="shared" si="14"/>
        <v>RETURNED</v>
      </c>
    </row>
    <row r="610">
      <c r="A610" s="1" t="s">
        <v>1879</v>
      </c>
      <c r="B610" s="2">
        <f t="shared" si="1"/>
        <v>46187</v>
      </c>
      <c r="C610" s="1" t="s">
        <v>1880</v>
      </c>
      <c r="D610" s="3" t="str">
        <f t="shared" si="2"/>
        <v>ABI</v>
      </c>
      <c r="E610" s="3" t="str">
        <f t="shared" si="3"/>
        <v>WEST BENGAL</v>
      </c>
      <c r="F610" s="3" t="str">
        <f t="shared" si="4"/>
        <v>KOLKATA</v>
      </c>
      <c r="G610" s="1" t="s">
        <v>1881</v>
      </c>
      <c r="H610" s="3" t="str">
        <f t="shared" si="5"/>
        <v>ACCESSORIES</v>
      </c>
      <c r="I610" s="3" t="str">
        <f t="shared" si="6"/>
        <v>EARRINGS</v>
      </c>
      <c r="J610" s="3">
        <f t="shared" si="7"/>
        <v>2</v>
      </c>
      <c r="K610" s="3">
        <f t="shared" si="8"/>
        <v>379</v>
      </c>
      <c r="L610" s="4">
        <f t="shared" si="9"/>
        <v>0.1</v>
      </c>
      <c r="M610" s="3">
        <f t="shared" si="10"/>
        <v>682.2</v>
      </c>
      <c r="N610" s="3">
        <f t="shared" si="11"/>
        <v>478</v>
      </c>
      <c r="O610" s="3">
        <f t="shared" si="12"/>
        <v>204</v>
      </c>
      <c r="P610" s="3" t="str">
        <f t="shared" si="13"/>
        <v>NET BANKING</v>
      </c>
      <c r="Q610" s="3" t="str">
        <f t="shared" si="14"/>
        <v>DELIVERED</v>
      </c>
    </row>
    <row r="611">
      <c r="A611" s="1" t="s">
        <v>1882</v>
      </c>
      <c r="B611" s="2">
        <f t="shared" si="1"/>
        <v>46346</v>
      </c>
      <c r="C611" s="1" t="s">
        <v>1883</v>
      </c>
      <c r="D611" s="3" t="str">
        <f t="shared" si="2"/>
        <v>NIHAAR</v>
      </c>
      <c r="E611" s="3" t="str">
        <f t="shared" si="3"/>
        <v>MAGARASTRA</v>
      </c>
      <c r="F611" s="3" t="str">
        <f t="shared" si="4"/>
        <v>PUNE</v>
      </c>
      <c r="G611" s="1" t="s">
        <v>1884</v>
      </c>
      <c r="H611" s="3" t="str">
        <f t="shared" si="5"/>
        <v>ELECTRONICS</v>
      </c>
      <c r="I611" s="3" t="str">
        <f t="shared" si="6"/>
        <v>WIRELESS EARBUDS</v>
      </c>
      <c r="J611" s="3">
        <f t="shared" si="7"/>
        <v>3</v>
      </c>
      <c r="K611" s="3">
        <f t="shared" si="8"/>
        <v>424</v>
      </c>
      <c r="L611" s="4">
        <f t="shared" si="9"/>
        <v>0</v>
      </c>
      <c r="M611" s="3">
        <f t="shared" si="10"/>
        <v>1272</v>
      </c>
      <c r="N611" s="3">
        <f t="shared" si="11"/>
        <v>890</v>
      </c>
      <c r="O611" s="3">
        <f t="shared" si="12"/>
        <v>382</v>
      </c>
      <c r="P611" s="3" t="str">
        <f t="shared" si="13"/>
        <v>WALLET</v>
      </c>
      <c r="Q611" s="3" t="str">
        <f t="shared" si="14"/>
        <v>SHIPPED</v>
      </c>
    </row>
    <row r="612">
      <c r="A612" s="1" t="s">
        <v>1885</v>
      </c>
      <c r="B612" s="2">
        <f t="shared" si="1"/>
        <v>46225</v>
      </c>
      <c r="C612" s="1" t="s">
        <v>1886</v>
      </c>
      <c r="D612" s="3" t="str">
        <f t="shared" si="2"/>
        <v>SRI</v>
      </c>
      <c r="E612" s="3" t="str">
        <f t="shared" si="3"/>
        <v>TAMILNADU</v>
      </c>
      <c r="F612" s="3" t="str">
        <f t="shared" si="4"/>
        <v>THOOTHUKUDI</v>
      </c>
      <c r="G612" s="1" t="s">
        <v>1887</v>
      </c>
      <c r="H612" s="3" t="str">
        <f t="shared" si="5"/>
        <v>SPORTS</v>
      </c>
      <c r="I612" s="3" t="str">
        <f t="shared" si="6"/>
        <v>FOOTBALL</v>
      </c>
      <c r="J612" s="3">
        <f t="shared" si="7"/>
        <v>1</v>
      </c>
      <c r="K612" s="3">
        <f t="shared" si="8"/>
        <v>400</v>
      </c>
      <c r="L612" s="4">
        <f t="shared" si="9"/>
        <v>0.17</v>
      </c>
      <c r="M612" s="3">
        <f t="shared" si="10"/>
        <v>332</v>
      </c>
      <c r="N612" s="3">
        <f t="shared" si="11"/>
        <v>232</v>
      </c>
      <c r="O612" s="3">
        <f t="shared" si="12"/>
        <v>100</v>
      </c>
      <c r="P612" s="3" t="str">
        <f t="shared" si="13"/>
        <v>UPI</v>
      </c>
      <c r="Q612" s="3" t="str">
        <f t="shared" si="14"/>
        <v>CANCELLED</v>
      </c>
    </row>
    <row r="613">
      <c r="A613" s="1" t="s">
        <v>1888</v>
      </c>
      <c r="B613" s="2">
        <f t="shared" si="1"/>
        <v>46375</v>
      </c>
      <c r="C613" s="1" t="s">
        <v>1889</v>
      </c>
      <c r="D613" s="3" t="str">
        <f t="shared" si="2"/>
        <v>SHOBN</v>
      </c>
      <c r="E613" s="3" t="str">
        <f t="shared" si="3"/>
        <v>KERALA</v>
      </c>
      <c r="F613" s="3" t="str">
        <f t="shared" si="4"/>
        <v>KOCHI</v>
      </c>
      <c r="G613" s="1" t="s">
        <v>1890</v>
      </c>
      <c r="H613" s="3" t="str">
        <f t="shared" si="5"/>
        <v>FOOD</v>
      </c>
      <c r="I613" s="3" t="str">
        <f t="shared" si="6"/>
        <v>BIRIYANI</v>
      </c>
      <c r="J613" s="3">
        <f t="shared" si="7"/>
        <v>1</v>
      </c>
      <c r="K613" s="3">
        <f t="shared" si="8"/>
        <v>160</v>
      </c>
      <c r="L613" s="4">
        <f t="shared" si="9"/>
        <v>0.2</v>
      </c>
      <c r="M613" s="3">
        <f t="shared" si="10"/>
        <v>128</v>
      </c>
      <c r="N613" s="3">
        <f t="shared" si="11"/>
        <v>90</v>
      </c>
      <c r="O613" s="3">
        <f t="shared" si="12"/>
        <v>38</v>
      </c>
      <c r="P613" s="3" t="str">
        <f t="shared" si="13"/>
        <v>CARD</v>
      </c>
      <c r="Q613" s="3" t="str">
        <f t="shared" si="14"/>
        <v>RETURNED</v>
      </c>
    </row>
    <row r="614">
      <c r="A614" s="1" t="s">
        <v>1891</v>
      </c>
      <c r="B614" s="2">
        <f t="shared" si="1"/>
        <v>46137</v>
      </c>
      <c r="C614" s="1" t="s">
        <v>1892</v>
      </c>
      <c r="D614" s="3" t="str">
        <f t="shared" si="2"/>
        <v>SOBI</v>
      </c>
      <c r="E614" s="3" t="str">
        <f t="shared" si="3"/>
        <v>KARNATAKA</v>
      </c>
      <c r="F614" s="3" t="str">
        <f t="shared" si="4"/>
        <v>BANGALURU</v>
      </c>
      <c r="G614" s="1" t="s">
        <v>1893</v>
      </c>
      <c r="H614" s="3" t="str">
        <f t="shared" si="5"/>
        <v>DRESS</v>
      </c>
      <c r="I614" s="3" t="str">
        <f t="shared" si="6"/>
        <v>WOMEN WAERS</v>
      </c>
      <c r="J614" s="3">
        <f t="shared" si="7"/>
        <v>5</v>
      </c>
      <c r="K614" s="3">
        <f t="shared" si="8"/>
        <v>313</v>
      </c>
      <c r="L614" s="4">
        <f t="shared" si="9"/>
        <v>0.15</v>
      </c>
      <c r="M614" s="3">
        <f t="shared" si="10"/>
        <v>1330.25</v>
      </c>
      <c r="N614" s="3">
        <f t="shared" si="11"/>
        <v>931</v>
      </c>
      <c r="O614" s="3">
        <f t="shared" si="12"/>
        <v>399</v>
      </c>
      <c r="P614" s="3" t="str">
        <f t="shared" si="13"/>
        <v>COD</v>
      </c>
      <c r="Q614" s="3" t="str">
        <f t="shared" si="14"/>
        <v>DELIVERED</v>
      </c>
    </row>
    <row r="615">
      <c r="A615" s="1" t="s">
        <v>1894</v>
      </c>
      <c r="B615" s="2">
        <f t="shared" si="1"/>
        <v>46292</v>
      </c>
      <c r="C615" s="1" t="s">
        <v>1895</v>
      </c>
      <c r="D615" s="3" t="str">
        <f t="shared" si="2"/>
        <v>SUJI</v>
      </c>
      <c r="E615" s="3" t="str">
        <f t="shared" si="3"/>
        <v>ANDHRA PRADESH</v>
      </c>
      <c r="F615" s="3" t="str">
        <f t="shared" si="4"/>
        <v>TIRUPATI</v>
      </c>
      <c r="G615" s="1" t="s">
        <v>1896</v>
      </c>
      <c r="H615" s="3" t="str">
        <f t="shared" si="5"/>
        <v>BEAUTY</v>
      </c>
      <c r="I615" s="3" t="str">
        <f t="shared" si="6"/>
        <v>KAJAL</v>
      </c>
      <c r="J615" s="3">
        <f t="shared" si="7"/>
        <v>1</v>
      </c>
      <c r="K615" s="3">
        <f t="shared" si="8"/>
        <v>570</v>
      </c>
      <c r="L615" s="4">
        <f t="shared" si="9"/>
        <v>0.5</v>
      </c>
      <c r="M615" s="3">
        <f t="shared" si="10"/>
        <v>285</v>
      </c>
      <c r="N615" s="3">
        <f t="shared" si="11"/>
        <v>200</v>
      </c>
      <c r="O615" s="3">
        <f t="shared" si="12"/>
        <v>85</v>
      </c>
      <c r="P615" s="3" t="str">
        <f t="shared" si="13"/>
        <v>NET BANKING</v>
      </c>
      <c r="Q615" s="3" t="str">
        <f t="shared" si="14"/>
        <v>SHIPPED</v>
      </c>
    </row>
    <row r="616">
      <c r="A616" s="1" t="s">
        <v>1897</v>
      </c>
      <c r="B616" s="2">
        <f t="shared" si="1"/>
        <v>46175</v>
      </c>
      <c r="C616" s="1" t="s">
        <v>1898</v>
      </c>
      <c r="D616" s="3" t="str">
        <f t="shared" si="2"/>
        <v>RATHA</v>
      </c>
      <c r="E616" s="3" t="str">
        <f t="shared" si="3"/>
        <v>TELUGANA</v>
      </c>
      <c r="F616" s="3" t="str">
        <f t="shared" si="4"/>
        <v>HYDERABAD</v>
      </c>
      <c r="G616" s="1" t="s">
        <v>1899</v>
      </c>
      <c r="H616" s="3" t="str">
        <f t="shared" si="5"/>
        <v>HOME &amp; KITCHEN</v>
      </c>
      <c r="I616" s="3" t="str">
        <f t="shared" si="6"/>
        <v>MIXER GRAINDER</v>
      </c>
      <c r="J616" s="3">
        <f t="shared" si="7"/>
        <v>2</v>
      </c>
      <c r="K616" s="3">
        <f t="shared" si="8"/>
        <v>357</v>
      </c>
      <c r="L616" s="4">
        <f t="shared" si="9"/>
        <v>0.5</v>
      </c>
      <c r="M616" s="3">
        <f t="shared" si="10"/>
        <v>357</v>
      </c>
      <c r="N616" s="3">
        <f t="shared" si="11"/>
        <v>250</v>
      </c>
      <c r="O616" s="3">
        <f t="shared" si="12"/>
        <v>107</v>
      </c>
      <c r="P616" s="3" t="str">
        <f t="shared" si="13"/>
        <v>WALLET</v>
      </c>
      <c r="Q616" s="3" t="str">
        <f t="shared" si="14"/>
        <v>CANCELLED</v>
      </c>
    </row>
    <row r="617">
      <c r="A617" s="1" t="s">
        <v>1900</v>
      </c>
      <c r="B617" s="2">
        <f t="shared" si="1"/>
        <v>46104</v>
      </c>
      <c r="C617" s="1" t="s">
        <v>1901</v>
      </c>
      <c r="D617" s="3" t="str">
        <f t="shared" si="2"/>
        <v>SUSA</v>
      </c>
      <c r="E617" s="3" t="str">
        <f t="shared" si="3"/>
        <v>UTTHRA PRADESH</v>
      </c>
      <c r="F617" s="3" t="str">
        <f t="shared" si="4"/>
        <v>LUCKNOW</v>
      </c>
      <c r="G617" s="1" t="s">
        <v>1902</v>
      </c>
      <c r="H617" s="3" t="str">
        <f t="shared" si="5"/>
        <v>BOOKS</v>
      </c>
      <c r="I617" s="3" t="str">
        <f t="shared" si="6"/>
        <v>LIFE OF PI</v>
      </c>
      <c r="J617" s="3">
        <f t="shared" si="7"/>
        <v>2</v>
      </c>
      <c r="K617" s="3">
        <f t="shared" si="8"/>
        <v>455</v>
      </c>
      <c r="L617" s="4">
        <f t="shared" si="9"/>
        <v>0.2</v>
      </c>
      <c r="M617" s="3">
        <f t="shared" si="10"/>
        <v>728</v>
      </c>
      <c r="N617" s="3">
        <f t="shared" si="11"/>
        <v>510</v>
      </c>
      <c r="O617" s="3">
        <f t="shared" si="12"/>
        <v>218</v>
      </c>
      <c r="P617" s="3" t="str">
        <f t="shared" si="13"/>
        <v>UPI</v>
      </c>
      <c r="Q617" s="3" t="str">
        <f t="shared" si="14"/>
        <v>RETURNED</v>
      </c>
    </row>
    <row r="618">
      <c r="A618" s="1" t="s">
        <v>1903</v>
      </c>
      <c r="B618" s="2">
        <f t="shared" si="1"/>
        <v>46350</v>
      </c>
      <c r="C618" s="1" t="s">
        <v>1904</v>
      </c>
      <c r="D618" s="3" t="str">
        <f t="shared" si="2"/>
        <v>NIVE</v>
      </c>
      <c r="E618" s="3" t="str">
        <f t="shared" si="3"/>
        <v>GUJARAT</v>
      </c>
      <c r="F618" s="3" t="str">
        <f t="shared" si="4"/>
        <v>SURAT</v>
      </c>
      <c r="G618" s="1" t="s">
        <v>1905</v>
      </c>
      <c r="H618" s="3" t="str">
        <f t="shared" si="5"/>
        <v>ACCESSORIES</v>
      </c>
      <c r="I618" s="3" t="str">
        <f t="shared" si="6"/>
        <v>EARRINGS</v>
      </c>
      <c r="J618" s="3">
        <f t="shared" si="7"/>
        <v>1</v>
      </c>
      <c r="K618" s="3">
        <f t="shared" si="8"/>
        <v>236</v>
      </c>
      <c r="L618" s="4">
        <f t="shared" si="9"/>
        <v>0</v>
      </c>
      <c r="M618" s="3">
        <f t="shared" si="10"/>
        <v>236</v>
      </c>
      <c r="N618" s="3">
        <f t="shared" si="11"/>
        <v>165</v>
      </c>
      <c r="O618" s="3">
        <f t="shared" si="12"/>
        <v>71</v>
      </c>
      <c r="P618" s="3" t="str">
        <f t="shared" si="13"/>
        <v>CARD</v>
      </c>
      <c r="Q618" s="3" t="str">
        <f t="shared" si="14"/>
        <v>DELIVERED</v>
      </c>
    </row>
    <row r="619">
      <c r="A619" s="1" t="s">
        <v>1906</v>
      </c>
      <c r="B619" s="2">
        <f t="shared" si="1"/>
        <v>46080</v>
      </c>
      <c r="C619" s="1" t="s">
        <v>1907</v>
      </c>
      <c r="D619" s="3" t="str">
        <f t="shared" si="2"/>
        <v>VINO</v>
      </c>
      <c r="E619" s="3" t="str">
        <f t="shared" si="3"/>
        <v>RAJASTHAN</v>
      </c>
      <c r="F619" s="3" t="str">
        <f t="shared" si="4"/>
        <v>JAIPUR</v>
      </c>
      <c r="G619" s="1" t="s">
        <v>1908</v>
      </c>
      <c r="H619" s="3" t="str">
        <f t="shared" si="5"/>
        <v>ELECTRONICS</v>
      </c>
      <c r="I619" s="3" t="str">
        <f t="shared" si="6"/>
        <v>WIRELESS EARBUDS</v>
      </c>
      <c r="J619" s="3">
        <f t="shared" si="7"/>
        <v>4</v>
      </c>
      <c r="K619" s="3">
        <f t="shared" si="8"/>
        <v>536</v>
      </c>
      <c r="L619" s="4">
        <f t="shared" si="9"/>
        <v>0.17</v>
      </c>
      <c r="M619" s="3">
        <f t="shared" si="10"/>
        <v>1779.52</v>
      </c>
      <c r="N619" s="3">
        <f t="shared" si="11"/>
        <v>1246</v>
      </c>
      <c r="O619" s="3">
        <f t="shared" si="12"/>
        <v>534</v>
      </c>
      <c r="P619" s="3" t="str">
        <f t="shared" si="13"/>
        <v>COD</v>
      </c>
      <c r="Q619" s="3" t="str">
        <f t="shared" si="14"/>
        <v>SHIPPED</v>
      </c>
    </row>
    <row r="620">
      <c r="A620" s="1" t="s">
        <v>1909</v>
      </c>
      <c r="B620" s="2">
        <f t="shared" si="1"/>
        <v>46164</v>
      </c>
      <c r="C620" s="1" t="s">
        <v>1910</v>
      </c>
      <c r="D620" s="3" t="str">
        <f t="shared" si="2"/>
        <v>ABI</v>
      </c>
      <c r="E620" s="3" t="str">
        <f t="shared" si="3"/>
        <v>WEST BENGAL</v>
      </c>
      <c r="F620" s="3" t="str">
        <f t="shared" si="4"/>
        <v>KOLKATA</v>
      </c>
      <c r="G620" s="1" t="s">
        <v>1911</v>
      </c>
      <c r="H620" s="3" t="str">
        <f t="shared" si="5"/>
        <v>SPORTS</v>
      </c>
      <c r="I620" s="3" t="str">
        <f t="shared" si="6"/>
        <v>FOOTBALL</v>
      </c>
      <c r="J620" s="3">
        <f t="shared" si="7"/>
        <v>4</v>
      </c>
      <c r="K620" s="3">
        <f t="shared" si="8"/>
        <v>242</v>
      </c>
      <c r="L620" s="4">
        <f t="shared" si="9"/>
        <v>0.15</v>
      </c>
      <c r="M620" s="3">
        <f t="shared" si="10"/>
        <v>822.8</v>
      </c>
      <c r="N620" s="3">
        <f t="shared" si="11"/>
        <v>576</v>
      </c>
      <c r="O620" s="3">
        <f t="shared" si="12"/>
        <v>247</v>
      </c>
      <c r="P620" s="3" t="str">
        <f t="shared" si="13"/>
        <v>NET BANKING</v>
      </c>
      <c r="Q620" s="3" t="str">
        <f t="shared" si="14"/>
        <v>CANCELLED</v>
      </c>
    </row>
    <row r="621">
      <c r="A621" s="1" t="s">
        <v>1912</v>
      </c>
      <c r="B621" s="2">
        <f t="shared" si="1"/>
        <v>46338</v>
      </c>
      <c r="C621" s="1" t="s">
        <v>1913</v>
      </c>
      <c r="D621" s="3" t="str">
        <f t="shared" si="2"/>
        <v>NIHAAR</v>
      </c>
      <c r="E621" s="3" t="str">
        <f t="shared" si="3"/>
        <v>MAGARASTRA</v>
      </c>
      <c r="F621" s="3" t="str">
        <f t="shared" si="4"/>
        <v>PUNE</v>
      </c>
      <c r="G621" s="1" t="s">
        <v>1914</v>
      </c>
      <c r="H621" s="3" t="str">
        <f t="shared" si="5"/>
        <v>FOOD</v>
      </c>
      <c r="I621" s="3" t="str">
        <f t="shared" si="6"/>
        <v>BIRIYANI</v>
      </c>
      <c r="J621" s="3">
        <f t="shared" si="7"/>
        <v>3</v>
      </c>
      <c r="K621" s="3">
        <f t="shared" si="8"/>
        <v>107</v>
      </c>
      <c r="L621" s="4">
        <f t="shared" si="9"/>
        <v>0.15</v>
      </c>
      <c r="M621" s="3">
        <f t="shared" si="10"/>
        <v>272.85</v>
      </c>
      <c r="N621" s="3">
        <f t="shared" si="11"/>
        <v>191</v>
      </c>
      <c r="O621" s="3">
        <f t="shared" si="12"/>
        <v>82</v>
      </c>
      <c r="P621" s="3" t="str">
        <f t="shared" si="13"/>
        <v>WALLET</v>
      </c>
      <c r="Q621" s="3" t="str">
        <f t="shared" si="14"/>
        <v>RETURNED</v>
      </c>
    </row>
    <row r="622">
      <c r="A622" s="1" t="s">
        <v>1915</v>
      </c>
      <c r="B622" s="2">
        <f t="shared" si="1"/>
        <v>46132</v>
      </c>
      <c r="C622" s="1" t="s">
        <v>1916</v>
      </c>
      <c r="D622" s="3" t="str">
        <f t="shared" si="2"/>
        <v>SRI</v>
      </c>
      <c r="E622" s="3" t="str">
        <f t="shared" si="3"/>
        <v>TAMILNADU</v>
      </c>
      <c r="F622" s="3" t="str">
        <f t="shared" si="4"/>
        <v>THOOTHUKUDI</v>
      </c>
      <c r="G622" s="1" t="s">
        <v>1917</v>
      </c>
      <c r="H622" s="3" t="str">
        <f t="shared" si="5"/>
        <v>DRESS</v>
      </c>
      <c r="I622" s="3" t="str">
        <f t="shared" si="6"/>
        <v>WOMEN WAERS</v>
      </c>
      <c r="J622" s="3">
        <f t="shared" si="7"/>
        <v>3</v>
      </c>
      <c r="K622" s="3">
        <f t="shared" si="8"/>
        <v>408</v>
      </c>
      <c r="L622" s="4">
        <f t="shared" si="9"/>
        <v>0.15</v>
      </c>
      <c r="M622" s="3">
        <f t="shared" si="10"/>
        <v>1040.4</v>
      </c>
      <c r="N622" s="3">
        <f t="shared" si="11"/>
        <v>728</v>
      </c>
      <c r="O622" s="3">
        <f t="shared" si="12"/>
        <v>312</v>
      </c>
      <c r="P622" s="3" t="str">
        <f t="shared" si="13"/>
        <v>UPI</v>
      </c>
      <c r="Q622" s="3" t="str">
        <f t="shared" si="14"/>
        <v>DELIVERED</v>
      </c>
    </row>
    <row r="623">
      <c r="A623" s="1" t="s">
        <v>1918</v>
      </c>
      <c r="B623" s="2">
        <f t="shared" si="1"/>
        <v>46271</v>
      </c>
      <c r="C623" s="1" t="s">
        <v>1919</v>
      </c>
      <c r="D623" s="3" t="str">
        <f t="shared" si="2"/>
        <v>SHOBN</v>
      </c>
      <c r="E623" s="3" t="str">
        <f t="shared" si="3"/>
        <v>KERALA</v>
      </c>
      <c r="F623" s="3" t="str">
        <f t="shared" si="4"/>
        <v>KOCHI</v>
      </c>
      <c r="G623" s="1" t="s">
        <v>1920</v>
      </c>
      <c r="H623" s="3" t="str">
        <f t="shared" si="5"/>
        <v>BEAUTY</v>
      </c>
      <c r="I623" s="3" t="str">
        <f t="shared" si="6"/>
        <v>KAJAL</v>
      </c>
      <c r="J623" s="3">
        <f t="shared" si="7"/>
        <v>1</v>
      </c>
      <c r="K623" s="3">
        <f t="shared" si="8"/>
        <v>237</v>
      </c>
      <c r="L623" s="4">
        <f t="shared" si="9"/>
        <v>0.17</v>
      </c>
      <c r="M623" s="3">
        <f t="shared" si="10"/>
        <v>196.71</v>
      </c>
      <c r="N623" s="3">
        <f t="shared" si="11"/>
        <v>138</v>
      </c>
      <c r="O623" s="3">
        <f t="shared" si="12"/>
        <v>59</v>
      </c>
      <c r="P623" s="3" t="str">
        <f t="shared" si="13"/>
        <v>CARD</v>
      </c>
      <c r="Q623" s="3" t="str">
        <f t="shared" si="14"/>
        <v>SHIPPED</v>
      </c>
    </row>
    <row r="624">
      <c r="A624" s="1" t="s">
        <v>1921</v>
      </c>
      <c r="B624" s="2">
        <f t="shared" si="1"/>
        <v>46326</v>
      </c>
      <c r="C624" s="1" t="s">
        <v>1922</v>
      </c>
      <c r="D624" s="3" t="str">
        <f t="shared" si="2"/>
        <v>SOBI</v>
      </c>
      <c r="E624" s="3" t="str">
        <f t="shared" si="3"/>
        <v>KARNATAKA</v>
      </c>
      <c r="F624" s="3" t="str">
        <f t="shared" si="4"/>
        <v>BANGALURU</v>
      </c>
      <c r="G624" s="1" t="s">
        <v>1923</v>
      </c>
      <c r="H624" s="3" t="str">
        <f t="shared" si="5"/>
        <v>HOME &amp; KITCHEN</v>
      </c>
      <c r="I624" s="3" t="str">
        <f t="shared" si="6"/>
        <v>MIXER GRAINDER</v>
      </c>
      <c r="J624" s="3">
        <f t="shared" si="7"/>
        <v>3</v>
      </c>
      <c r="K624" s="3">
        <f t="shared" si="8"/>
        <v>190</v>
      </c>
      <c r="L624" s="4">
        <f t="shared" si="9"/>
        <v>0.2</v>
      </c>
      <c r="M624" s="3">
        <f t="shared" si="10"/>
        <v>456</v>
      </c>
      <c r="N624" s="3">
        <f t="shared" si="11"/>
        <v>319</v>
      </c>
      <c r="O624" s="3">
        <f t="shared" si="12"/>
        <v>137</v>
      </c>
      <c r="P624" s="3" t="str">
        <f t="shared" si="13"/>
        <v>COD</v>
      </c>
      <c r="Q624" s="3" t="str">
        <f t="shared" si="14"/>
        <v>CANCELLED</v>
      </c>
    </row>
    <row r="625">
      <c r="A625" s="1" t="s">
        <v>1924</v>
      </c>
      <c r="B625" s="2">
        <f t="shared" si="1"/>
        <v>46285</v>
      </c>
      <c r="C625" s="1" t="s">
        <v>1925</v>
      </c>
      <c r="D625" s="3" t="str">
        <f t="shared" si="2"/>
        <v>SUJI</v>
      </c>
      <c r="E625" s="3" t="str">
        <f t="shared" si="3"/>
        <v>ANDHRA PRADESH</v>
      </c>
      <c r="F625" s="3" t="str">
        <f t="shared" si="4"/>
        <v>TIRUPATI</v>
      </c>
      <c r="G625" s="1" t="s">
        <v>1926</v>
      </c>
      <c r="H625" s="3" t="str">
        <f t="shared" si="5"/>
        <v>BOOKS</v>
      </c>
      <c r="I625" s="3" t="str">
        <f t="shared" si="6"/>
        <v>LIFE OF PI</v>
      </c>
      <c r="J625" s="3">
        <f t="shared" si="7"/>
        <v>2</v>
      </c>
      <c r="K625" s="3">
        <f t="shared" si="8"/>
        <v>298</v>
      </c>
      <c r="L625" s="4">
        <f t="shared" si="9"/>
        <v>0.15</v>
      </c>
      <c r="M625" s="3">
        <f t="shared" si="10"/>
        <v>506.6</v>
      </c>
      <c r="N625" s="3">
        <f t="shared" si="11"/>
        <v>355</v>
      </c>
      <c r="O625" s="3">
        <f t="shared" si="12"/>
        <v>152</v>
      </c>
      <c r="P625" s="3" t="str">
        <f t="shared" si="13"/>
        <v>NET BANKING</v>
      </c>
      <c r="Q625" s="3" t="str">
        <f t="shared" si="14"/>
        <v>RETURNED</v>
      </c>
    </row>
    <row r="626">
      <c r="A626" s="1" t="s">
        <v>1927</v>
      </c>
      <c r="B626" s="2">
        <f t="shared" si="1"/>
        <v>46257</v>
      </c>
      <c r="C626" s="1" t="s">
        <v>1928</v>
      </c>
      <c r="D626" s="3" t="str">
        <f t="shared" si="2"/>
        <v>RATHA</v>
      </c>
      <c r="E626" s="3" t="str">
        <f t="shared" si="3"/>
        <v>TELUGANA</v>
      </c>
      <c r="F626" s="3" t="str">
        <f t="shared" si="4"/>
        <v>HYDERABAD</v>
      </c>
      <c r="G626" s="1" t="s">
        <v>1929</v>
      </c>
      <c r="H626" s="3" t="str">
        <f t="shared" si="5"/>
        <v>ACCESSORIES</v>
      </c>
      <c r="I626" s="3" t="str">
        <f t="shared" si="6"/>
        <v>EARRINGS</v>
      </c>
      <c r="J626" s="3">
        <f t="shared" si="7"/>
        <v>2</v>
      </c>
      <c r="K626" s="3">
        <f t="shared" si="8"/>
        <v>468</v>
      </c>
      <c r="L626" s="4">
        <f t="shared" si="9"/>
        <v>0</v>
      </c>
      <c r="M626" s="3">
        <f t="shared" si="10"/>
        <v>936</v>
      </c>
      <c r="N626" s="3">
        <f t="shared" si="11"/>
        <v>655</v>
      </c>
      <c r="O626" s="3">
        <f t="shared" si="12"/>
        <v>281</v>
      </c>
      <c r="P626" s="3" t="str">
        <f t="shared" si="13"/>
        <v>WALLET</v>
      </c>
      <c r="Q626" s="3" t="str">
        <f t="shared" si="14"/>
        <v>DELIVERED</v>
      </c>
    </row>
    <row r="627">
      <c r="A627" s="1" t="s">
        <v>1930</v>
      </c>
      <c r="B627" s="2">
        <f t="shared" si="1"/>
        <v>46249</v>
      </c>
      <c r="C627" s="1" t="s">
        <v>1931</v>
      </c>
      <c r="D627" s="3" t="str">
        <f t="shared" si="2"/>
        <v>SUSA</v>
      </c>
      <c r="E627" s="3" t="str">
        <f t="shared" si="3"/>
        <v>UTTHRA PRADESH</v>
      </c>
      <c r="F627" s="3" t="str">
        <f t="shared" si="4"/>
        <v>LUCKNOW</v>
      </c>
      <c r="G627" s="1" t="s">
        <v>1932</v>
      </c>
      <c r="H627" s="3" t="str">
        <f t="shared" si="5"/>
        <v>ELECTRONICS</v>
      </c>
      <c r="I627" s="3" t="str">
        <f t="shared" si="6"/>
        <v>WIRELESS EARBUDS</v>
      </c>
      <c r="J627" s="3">
        <f t="shared" si="7"/>
        <v>3</v>
      </c>
      <c r="K627" s="3">
        <f t="shared" si="8"/>
        <v>218</v>
      </c>
      <c r="L627" s="4">
        <f t="shared" si="9"/>
        <v>0.2</v>
      </c>
      <c r="M627" s="3">
        <f t="shared" si="10"/>
        <v>523.2</v>
      </c>
      <c r="N627" s="3">
        <f t="shared" si="11"/>
        <v>366</v>
      </c>
      <c r="O627" s="3">
        <f t="shared" si="12"/>
        <v>157</v>
      </c>
      <c r="P627" s="3" t="str">
        <f t="shared" si="13"/>
        <v>UPI</v>
      </c>
      <c r="Q627" s="3" t="str">
        <f t="shared" si="14"/>
        <v>SHIPPED</v>
      </c>
    </row>
    <row r="628">
      <c r="A628" s="1" t="s">
        <v>1933</v>
      </c>
      <c r="B628" s="2">
        <f t="shared" si="1"/>
        <v>46264</v>
      </c>
      <c r="C628" s="1" t="s">
        <v>1934</v>
      </c>
      <c r="D628" s="3" t="str">
        <f t="shared" si="2"/>
        <v>NIVE</v>
      </c>
      <c r="E628" s="3" t="str">
        <f t="shared" si="3"/>
        <v>GUJARAT</v>
      </c>
      <c r="F628" s="3" t="str">
        <f t="shared" si="4"/>
        <v>SURAT</v>
      </c>
      <c r="G628" s="1" t="s">
        <v>1935</v>
      </c>
      <c r="H628" s="3" t="str">
        <f t="shared" si="5"/>
        <v>SPORTS</v>
      </c>
      <c r="I628" s="3" t="str">
        <f t="shared" si="6"/>
        <v>FOOTBALL</v>
      </c>
      <c r="J628" s="3">
        <f t="shared" si="7"/>
        <v>1</v>
      </c>
      <c r="K628" s="3">
        <f t="shared" si="8"/>
        <v>161</v>
      </c>
      <c r="L628" s="4">
        <f t="shared" si="9"/>
        <v>0.15</v>
      </c>
      <c r="M628" s="3">
        <f t="shared" si="10"/>
        <v>136.85</v>
      </c>
      <c r="N628" s="3">
        <f t="shared" si="11"/>
        <v>96</v>
      </c>
      <c r="O628" s="3">
        <f t="shared" si="12"/>
        <v>41</v>
      </c>
      <c r="P628" s="3" t="str">
        <f t="shared" si="13"/>
        <v>CARD</v>
      </c>
      <c r="Q628" s="3" t="str">
        <f t="shared" si="14"/>
        <v>CANCELLED</v>
      </c>
    </row>
    <row r="629">
      <c r="A629" s="1" t="s">
        <v>1936</v>
      </c>
      <c r="B629" s="2">
        <f t="shared" si="1"/>
        <v>46259</v>
      </c>
      <c r="C629" s="1" t="s">
        <v>1937</v>
      </c>
      <c r="D629" s="3" t="str">
        <f t="shared" si="2"/>
        <v>VINO</v>
      </c>
      <c r="E629" s="3" t="str">
        <f t="shared" si="3"/>
        <v>RAJASTHAN</v>
      </c>
      <c r="F629" s="3" t="str">
        <f t="shared" si="4"/>
        <v>JAIPUR</v>
      </c>
      <c r="G629" s="1" t="s">
        <v>1938</v>
      </c>
      <c r="H629" s="3" t="str">
        <f t="shared" si="5"/>
        <v>FOOD</v>
      </c>
      <c r="I629" s="3" t="str">
        <f t="shared" si="6"/>
        <v>BIRIYANI</v>
      </c>
      <c r="J629" s="3">
        <f t="shared" si="7"/>
        <v>3</v>
      </c>
      <c r="K629" s="3">
        <f t="shared" si="8"/>
        <v>421</v>
      </c>
      <c r="L629" s="4">
        <f t="shared" si="9"/>
        <v>0.17</v>
      </c>
      <c r="M629" s="3">
        <f t="shared" si="10"/>
        <v>1048.29</v>
      </c>
      <c r="N629" s="3">
        <f t="shared" si="11"/>
        <v>734</v>
      </c>
      <c r="O629" s="3">
        <f t="shared" si="12"/>
        <v>314</v>
      </c>
      <c r="P629" s="3" t="str">
        <f t="shared" si="13"/>
        <v>COD</v>
      </c>
      <c r="Q629" s="3" t="str">
        <f t="shared" si="14"/>
        <v>RETURNED</v>
      </c>
    </row>
    <row r="630">
      <c r="A630" s="1" t="s">
        <v>1939</v>
      </c>
      <c r="B630" s="2">
        <f t="shared" si="1"/>
        <v>46345</v>
      </c>
      <c r="C630" s="1" t="s">
        <v>1940</v>
      </c>
      <c r="D630" s="3" t="str">
        <f t="shared" si="2"/>
        <v>ABI</v>
      </c>
      <c r="E630" s="3" t="str">
        <f t="shared" si="3"/>
        <v>WEST BENGAL</v>
      </c>
      <c r="F630" s="3" t="str">
        <f t="shared" si="4"/>
        <v>KOLKATA</v>
      </c>
      <c r="G630" s="1" t="s">
        <v>1941</v>
      </c>
      <c r="H630" s="3" t="str">
        <f t="shared" si="5"/>
        <v>DRESS</v>
      </c>
      <c r="I630" s="3" t="str">
        <f t="shared" si="6"/>
        <v>WOMEN WAERS</v>
      </c>
      <c r="J630" s="3">
        <f t="shared" si="7"/>
        <v>1</v>
      </c>
      <c r="K630" s="3">
        <f t="shared" si="8"/>
        <v>295</v>
      </c>
      <c r="L630" s="4">
        <f t="shared" si="9"/>
        <v>0.17</v>
      </c>
      <c r="M630" s="3">
        <f t="shared" si="10"/>
        <v>244.85</v>
      </c>
      <c r="N630" s="3">
        <f t="shared" si="11"/>
        <v>171</v>
      </c>
      <c r="O630" s="3">
        <f t="shared" si="12"/>
        <v>74</v>
      </c>
      <c r="P630" s="3" t="str">
        <f t="shared" si="13"/>
        <v>NET BANKING</v>
      </c>
      <c r="Q630" s="3" t="str">
        <f t="shared" si="14"/>
        <v>DELIVERED</v>
      </c>
    </row>
    <row r="631">
      <c r="A631" s="1" t="s">
        <v>1942</v>
      </c>
      <c r="B631" s="2">
        <f t="shared" si="1"/>
        <v>46209</v>
      </c>
      <c r="C631" s="1" t="s">
        <v>1943</v>
      </c>
      <c r="D631" s="3" t="str">
        <f t="shared" si="2"/>
        <v>NIHAAR</v>
      </c>
      <c r="E631" s="3" t="str">
        <f t="shared" si="3"/>
        <v>MAGARASTRA</v>
      </c>
      <c r="F631" s="3" t="str">
        <f t="shared" si="4"/>
        <v>PUNE</v>
      </c>
      <c r="G631" s="1" t="s">
        <v>1944</v>
      </c>
      <c r="H631" s="3" t="str">
        <f t="shared" si="5"/>
        <v>BEAUTY</v>
      </c>
      <c r="I631" s="3" t="str">
        <f t="shared" si="6"/>
        <v>KAJAL</v>
      </c>
      <c r="J631" s="3">
        <f t="shared" si="7"/>
        <v>4</v>
      </c>
      <c r="K631" s="3">
        <f t="shared" si="8"/>
        <v>481</v>
      </c>
      <c r="L631" s="4">
        <f t="shared" si="9"/>
        <v>0.5</v>
      </c>
      <c r="M631" s="3">
        <f t="shared" si="10"/>
        <v>962</v>
      </c>
      <c r="N631" s="3">
        <f t="shared" si="11"/>
        <v>673</v>
      </c>
      <c r="O631" s="3">
        <f t="shared" si="12"/>
        <v>289</v>
      </c>
      <c r="P631" s="3" t="str">
        <f t="shared" si="13"/>
        <v>WALLET</v>
      </c>
      <c r="Q631" s="3" t="str">
        <f t="shared" si="14"/>
        <v>SHIPPED</v>
      </c>
    </row>
    <row r="632">
      <c r="A632" s="1" t="s">
        <v>1945</v>
      </c>
      <c r="B632" s="2">
        <f t="shared" si="1"/>
        <v>46166</v>
      </c>
      <c r="C632" s="1" t="s">
        <v>1946</v>
      </c>
      <c r="D632" s="3" t="str">
        <f t="shared" si="2"/>
        <v>SRI</v>
      </c>
      <c r="E632" s="3" t="str">
        <f t="shared" si="3"/>
        <v>TAMILNADU</v>
      </c>
      <c r="F632" s="3" t="str">
        <f t="shared" si="4"/>
        <v>THOOTHUKUDI</v>
      </c>
      <c r="G632" s="1" t="s">
        <v>1947</v>
      </c>
      <c r="H632" s="3" t="str">
        <f t="shared" si="5"/>
        <v>HOME &amp; KITCHEN</v>
      </c>
      <c r="I632" s="3" t="str">
        <f t="shared" si="6"/>
        <v>MIXER GRAINDER</v>
      </c>
      <c r="J632" s="3">
        <f t="shared" si="7"/>
        <v>4</v>
      </c>
      <c r="K632" s="3">
        <f t="shared" si="8"/>
        <v>417</v>
      </c>
      <c r="L632" s="4">
        <f t="shared" si="9"/>
        <v>0.2</v>
      </c>
      <c r="M632" s="3">
        <f t="shared" si="10"/>
        <v>1334.4</v>
      </c>
      <c r="N632" s="3">
        <f t="shared" si="11"/>
        <v>934</v>
      </c>
      <c r="O632" s="3">
        <f t="shared" si="12"/>
        <v>400</v>
      </c>
      <c r="P632" s="3" t="str">
        <f t="shared" si="13"/>
        <v>UPI</v>
      </c>
      <c r="Q632" s="3" t="str">
        <f t="shared" si="14"/>
        <v>CANCELLED</v>
      </c>
    </row>
    <row r="633">
      <c r="A633" s="1" t="s">
        <v>1948</v>
      </c>
      <c r="B633" s="2">
        <f t="shared" si="1"/>
        <v>46372</v>
      </c>
      <c r="C633" s="1" t="s">
        <v>1949</v>
      </c>
      <c r="D633" s="3" t="str">
        <f t="shared" si="2"/>
        <v>SHOBN</v>
      </c>
      <c r="E633" s="3" t="str">
        <f t="shared" si="3"/>
        <v>KERALA</v>
      </c>
      <c r="F633" s="3" t="str">
        <f t="shared" si="4"/>
        <v>KOCHI</v>
      </c>
      <c r="G633" s="1" t="s">
        <v>1950</v>
      </c>
      <c r="H633" s="3" t="str">
        <f t="shared" si="5"/>
        <v>BOOKS</v>
      </c>
      <c r="I633" s="3" t="str">
        <f t="shared" si="6"/>
        <v>LIFE OF PI</v>
      </c>
      <c r="J633" s="3">
        <f t="shared" si="7"/>
        <v>4</v>
      </c>
      <c r="K633" s="3">
        <f t="shared" si="8"/>
        <v>579</v>
      </c>
      <c r="L633" s="4">
        <f t="shared" si="9"/>
        <v>0.17</v>
      </c>
      <c r="M633" s="3">
        <f t="shared" si="10"/>
        <v>1922.28</v>
      </c>
      <c r="N633" s="3">
        <f t="shared" si="11"/>
        <v>1346</v>
      </c>
      <c r="O633" s="3">
        <f t="shared" si="12"/>
        <v>576</v>
      </c>
      <c r="P633" s="3" t="str">
        <f t="shared" si="13"/>
        <v>CARD</v>
      </c>
      <c r="Q633" s="3" t="str">
        <f t="shared" si="14"/>
        <v>RETURNED</v>
      </c>
    </row>
    <row r="634">
      <c r="A634" s="1" t="s">
        <v>1951</v>
      </c>
      <c r="B634" s="2">
        <f t="shared" si="1"/>
        <v>46170</v>
      </c>
      <c r="C634" s="1" t="s">
        <v>1952</v>
      </c>
      <c r="D634" s="3" t="str">
        <f t="shared" si="2"/>
        <v>SOBI</v>
      </c>
      <c r="E634" s="3" t="str">
        <f t="shared" si="3"/>
        <v>KARNATAKA</v>
      </c>
      <c r="F634" s="3" t="str">
        <f t="shared" si="4"/>
        <v>BANGALURU</v>
      </c>
      <c r="G634" s="1" t="s">
        <v>1953</v>
      </c>
      <c r="H634" s="3" t="str">
        <f t="shared" si="5"/>
        <v>ACCESSORIES</v>
      </c>
      <c r="I634" s="3" t="str">
        <f t="shared" si="6"/>
        <v>EARRINGS</v>
      </c>
      <c r="J634" s="3">
        <f t="shared" si="7"/>
        <v>1</v>
      </c>
      <c r="K634" s="3">
        <f t="shared" si="8"/>
        <v>148</v>
      </c>
      <c r="L634" s="4">
        <f t="shared" si="9"/>
        <v>0.17</v>
      </c>
      <c r="M634" s="3">
        <f t="shared" si="10"/>
        <v>122.84</v>
      </c>
      <c r="N634" s="3">
        <f t="shared" si="11"/>
        <v>86</v>
      </c>
      <c r="O634" s="3">
        <f t="shared" si="12"/>
        <v>37</v>
      </c>
      <c r="P634" s="3" t="str">
        <f t="shared" si="13"/>
        <v>COD</v>
      </c>
      <c r="Q634" s="3" t="str">
        <f t="shared" si="14"/>
        <v>DELIVERED</v>
      </c>
    </row>
    <row r="635">
      <c r="A635" s="1" t="s">
        <v>1954</v>
      </c>
      <c r="B635" s="2">
        <f t="shared" si="1"/>
        <v>46218</v>
      </c>
      <c r="C635" s="1" t="s">
        <v>1955</v>
      </c>
      <c r="D635" s="3" t="str">
        <f t="shared" si="2"/>
        <v>SUJI</v>
      </c>
      <c r="E635" s="3" t="str">
        <f t="shared" si="3"/>
        <v>ANDHRA PRADESH</v>
      </c>
      <c r="F635" s="3" t="str">
        <f t="shared" si="4"/>
        <v>TIRUPATI</v>
      </c>
      <c r="G635" s="1" t="s">
        <v>1956</v>
      </c>
      <c r="H635" s="3" t="str">
        <f t="shared" si="5"/>
        <v>ELECTRONICS</v>
      </c>
      <c r="I635" s="3" t="str">
        <f t="shared" si="6"/>
        <v>WIRELESS EARBUDS</v>
      </c>
      <c r="J635" s="3">
        <f t="shared" si="7"/>
        <v>3</v>
      </c>
      <c r="K635" s="3">
        <f t="shared" si="8"/>
        <v>440</v>
      </c>
      <c r="L635" s="4">
        <f t="shared" si="9"/>
        <v>0</v>
      </c>
      <c r="M635" s="3">
        <f t="shared" si="10"/>
        <v>1320</v>
      </c>
      <c r="N635" s="3">
        <f t="shared" si="11"/>
        <v>924</v>
      </c>
      <c r="O635" s="3">
        <f t="shared" si="12"/>
        <v>396</v>
      </c>
      <c r="P635" s="3" t="str">
        <f t="shared" si="13"/>
        <v>NET BANKING</v>
      </c>
      <c r="Q635" s="3" t="str">
        <f t="shared" si="14"/>
        <v>SHIPPED</v>
      </c>
    </row>
    <row r="636">
      <c r="A636" s="1" t="s">
        <v>1957</v>
      </c>
      <c r="B636" s="2">
        <f t="shared" si="1"/>
        <v>46051</v>
      </c>
      <c r="C636" s="1" t="s">
        <v>1958</v>
      </c>
      <c r="D636" s="3" t="str">
        <f t="shared" si="2"/>
        <v>RATHA</v>
      </c>
      <c r="E636" s="3" t="str">
        <f t="shared" si="3"/>
        <v>TELUGANA</v>
      </c>
      <c r="F636" s="3" t="str">
        <f t="shared" si="4"/>
        <v>HYDERABAD</v>
      </c>
      <c r="G636" s="1" t="s">
        <v>1959</v>
      </c>
      <c r="H636" s="3" t="str">
        <f t="shared" si="5"/>
        <v>SPORTS</v>
      </c>
      <c r="I636" s="3" t="str">
        <f t="shared" si="6"/>
        <v>FOOTBALL</v>
      </c>
      <c r="J636" s="3">
        <f t="shared" si="7"/>
        <v>5</v>
      </c>
      <c r="K636" s="3">
        <f t="shared" si="8"/>
        <v>451</v>
      </c>
      <c r="L636" s="4">
        <f t="shared" si="9"/>
        <v>0.15</v>
      </c>
      <c r="M636" s="3">
        <f t="shared" si="10"/>
        <v>1916.75</v>
      </c>
      <c r="N636" s="3">
        <f t="shared" si="11"/>
        <v>1342</v>
      </c>
      <c r="O636" s="3">
        <f t="shared" si="12"/>
        <v>575</v>
      </c>
      <c r="P636" s="3" t="str">
        <f t="shared" si="13"/>
        <v>WALLET</v>
      </c>
      <c r="Q636" s="3" t="str">
        <f t="shared" si="14"/>
        <v>CANCELLED</v>
      </c>
    </row>
    <row r="637">
      <c r="A637" s="1" t="s">
        <v>1960</v>
      </c>
      <c r="B637" s="2">
        <f t="shared" si="1"/>
        <v>46106</v>
      </c>
      <c r="C637" s="1" t="s">
        <v>1961</v>
      </c>
      <c r="D637" s="3" t="str">
        <f t="shared" si="2"/>
        <v>SUSA</v>
      </c>
      <c r="E637" s="3" t="str">
        <f t="shared" si="3"/>
        <v>UTTHRA PRADESH</v>
      </c>
      <c r="F637" s="3" t="str">
        <f t="shared" si="4"/>
        <v>LUCKNOW</v>
      </c>
      <c r="G637" s="1" t="s">
        <v>1962</v>
      </c>
      <c r="H637" s="3" t="str">
        <f t="shared" si="5"/>
        <v>FOOD</v>
      </c>
      <c r="I637" s="3" t="str">
        <f t="shared" si="6"/>
        <v>BIRIYANI</v>
      </c>
      <c r="J637" s="3">
        <f t="shared" si="7"/>
        <v>1</v>
      </c>
      <c r="K637" s="3">
        <f t="shared" si="8"/>
        <v>299</v>
      </c>
      <c r="L637" s="4">
        <f t="shared" si="9"/>
        <v>0</v>
      </c>
      <c r="M637" s="3">
        <f t="shared" si="10"/>
        <v>299</v>
      </c>
      <c r="N637" s="3">
        <f t="shared" si="11"/>
        <v>209</v>
      </c>
      <c r="O637" s="3">
        <f t="shared" si="12"/>
        <v>90</v>
      </c>
      <c r="P637" s="3" t="str">
        <f t="shared" si="13"/>
        <v>UPI</v>
      </c>
      <c r="Q637" s="3" t="str">
        <f t="shared" si="14"/>
        <v>RETURNED</v>
      </c>
    </row>
    <row r="638">
      <c r="A638" s="1" t="s">
        <v>1963</v>
      </c>
      <c r="B638" s="2">
        <f t="shared" si="1"/>
        <v>46201</v>
      </c>
      <c r="C638" s="1" t="s">
        <v>1964</v>
      </c>
      <c r="D638" s="3" t="str">
        <f t="shared" si="2"/>
        <v>NIVE</v>
      </c>
      <c r="E638" s="3" t="str">
        <f t="shared" si="3"/>
        <v>GUJARAT</v>
      </c>
      <c r="F638" s="3" t="str">
        <f t="shared" si="4"/>
        <v>SURAT</v>
      </c>
      <c r="G638" s="1" t="s">
        <v>1965</v>
      </c>
      <c r="H638" s="3" t="str">
        <f t="shared" si="5"/>
        <v>DRESS</v>
      </c>
      <c r="I638" s="3" t="str">
        <f t="shared" si="6"/>
        <v>WOMEN WAERS</v>
      </c>
      <c r="J638" s="3">
        <f t="shared" si="7"/>
        <v>3</v>
      </c>
      <c r="K638" s="3">
        <f t="shared" si="8"/>
        <v>520</v>
      </c>
      <c r="L638" s="4">
        <f t="shared" si="9"/>
        <v>0.15</v>
      </c>
      <c r="M638" s="3">
        <f t="shared" si="10"/>
        <v>1326</v>
      </c>
      <c r="N638" s="3">
        <f t="shared" si="11"/>
        <v>928</v>
      </c>
      <c r="O638" s="3">
        <f t="shared" si="12"/>
        <v>398</v>
      </c>
      <c r="P638" s="3" t="str">
        <f t="shared" si="13"/>
        <v>CARD</v>
      </c>
      <c r="Q638" s="3" t="str">
        <f t="shared" si="14"/>
        <v>DELIVERED</v>
      </c>
    </row>
    <row r="639">
      <c r="A639" s="1" t="s">
        <v>1966</v>
      </c>
      <c r="B639" s="2">
        <f t="shared" si="1"/>
        <v>46255</v>
      </c>
      <c r="C639" s="1" t="s">
        <v>1967</v>
      </c>
      <c r="D639" s="3" t="str">
        <f t="shared" si="2"/>
        <v>VINO</v>
      </c>
      <c r="E639" s="3" t="str">
        <f t="shared" si="3"/>
        <v>RAJASTHAN</v>
      </c>
      <c r="F639" s="3" t="str">
        <f t="shared" si="4"/>
        <v>JAIPUR</v>
      </c>
      <c r="G639" s="1" t="s">
        <v>1968</v>
      </c>
      <c r="H639" s="3" t="str">
        <f t="shared" si="5"/>
        <v>BEAUTY</v>
      </c>
      <c r="I639" s="3" t="str">
        <f t="shared" si="6"/>
        <v>KAJAL</v>
      </c>
      <c r="J639" s="3">
        <f t="shared" si="7"/>
        <v>5</v>
      </c>
      <c r="K639" s="3">
        <f t="shared" si="8"/>
        <v>159</v>
      </c>
      <c r="L639" s="4">
        <f t="shared" si="9"/>
        <v>0.15</v>
      </c>
      <c r="M639" s="3">
        <f t="shared" si="10"/>
        <v>675.75</v>
      </c>
      <c r="N639" s="3">
        <f t="shared" si="11"/>
        <v>473</v>
      </c>
      <c r="O639" s="3">
        <f t="shared" si="12"/>
        <v>203</v>
      </c>
      <c r="P639" s="3" t="str">
        <f t="shared" si="13"/>
        <v>COD</v>
      </c>
      <c r="Q639" s="3" t="str">
        <f t="shared" si="14"/>
        <v>SHIPPED</v>
      </c>
    </row>
    <row r="640">
      <c r="A640" s="1" t="s">
        <v>1969</v>
      </c>
      <c r="B640" s="2">
        <f t="shared" si="1"/>
        <v>46218</v>
      </c>
      <c r="C640" s="1" t="s">
        <v>1970</v>
      </c>
      <c r="D640" s="3" t="str">
        <f t="shared" si="2"/>
        <v>ABI</v>
      </c>
      <c r="E640" s="3" t="str">
        <f t="shared" si="3"/>
        <v>WEST BENGAL</v>
      </c>
      <c r="F640" s="3" t="str">
        <f t="shared" si="4"/>
        <v>KOLKATA</v>
      </c>
      <c r="G640" s="1" t="s">
        <v>1971</v>
      </c>
      <c r="H640" s="3" t="str">
        <f t="shared" si="5"/>
        <v>HOME &amp; KITCHEN</v>
      </c>
      <c r="I640" s="3" t="str">
        <f t="shared" si="6"/>
        <v>MIXER GRAINDER</v>
      </c>
      <c r="J640" s="3">
        <f t="shared" si="7"/>
        <v>1</v>
      </c>
      <c r="K640" s="3">
        <f t="shared" si="8"/>
        <v>448</v>
      </c>
      <c r="L640" s="4">
        <f t="shared" si="9"/>
        <v>0.5</v>
      </c>
      <c r="M640" s="3">
        <f t="shared" si="10"/>
        <v>224</v>
      </c>
      <c r="N640" s="3">
        <f t="shared" si="11"/>
        <v>157</v>
      </c>
      <c r="O640" s="3">
        <f t="shared" si="12"/>
        <v>67</v>
      </c>
      <c r="P640" s="3" t="str">
        <f t="shared" si="13"/>
        <v>NET BANKING</v>
      </c>
      <c r="Q640" s="3" t="str">
        <f t="shared" si="14"/>
        <v>CANCELLED</v>
      </c>
    </row>
    <row r="641">
      <c r="A641" s="1" t="s">
        <v>1972</v>
      </c>
      <c r="B641" s="2">
        <f t="shared" si="1"/>
        <v>46108</v>
      </c>
      <c r="C641" s="1" t="s">
        <v>1973</v>
      </c>
      <c r="D641" s="3" t="str">
        <f t="shared" si="2"/>
        <v>NIHAAR</v>
      </c>
      <c r="E641" s="3" t="str">
        <f t="shared" si="3"/>
        <v>MAGARASTRA</v>
      </c>
      <c r="F641" s="3" t="str">
        <f t="shared" si="4"/>
        <v>PUNE</v>
      </c>
      <c r="G641" s="1" t="s">
        <v>1974</v>
      </c>
      <c r="H641" s="3" t="str">
        <f t="shared" si="5"/>
        <v>BOOKS</v>
      </c>
      <c r="I641" s="3" t="str">
        <f t="shared" si="6"/>
        <v>LIFE OF PI</v>
      </c>
      <c r="J641" s="3">
        <f t="shared" si="7"/>
        <v>4</v>
      </c>
      <c r="K641" s="3">
        <f t="shared" si="8"/>
        <v>201</v>
      </c>
      <c r="L641" s="4">
        <f t="shared" si="9"/>
        <v>0.5</v>
      </c>
      <c r="M641" s="3">
        <f t="shared" si="10"/>
        <v>402</v>
      </c>
      <c r="N641" s="3">
        <f t="shared" si="11"/>
        <v>281</v>
      </c>
      <c r="O641" s="3">
        <f t="shared" si="12"/>
        <v>121</v>
      </c>
      <c r="P641" s="3" t="str">
        <f t="shared" si="13"/>
        <v>WALLET</v>
      </c>
      <c r="Q641" s="3" t="str">
        <f t="shared" si="14"/>
        <v>RETURNED</v>
      </c>
    </row>
    <row r="642">
      <c r="A642" s="1" t="s">
        <v>1975</v>
      </c>
      <c r="B642" s="2">
        <f t="shared" si="1"/>
        <v>46155</v>
      </c>
      <c r="C642" s="1" t="s">
        <v>1976</v>
      </c>
      <c r="D642" s="3" t="str">
        <f t="shared" si="2"/>
        <v>SRI</v>
      </c>
      <c r="E642" s="3" t="str">
        <f t="shared" si="3"/>
        <v>TAMILNADU</v>
      </c>
      <c r="F642" s="3" t="str">
        <f t="shared" si="4"/>
        <v>THOOTHUKUDI</v>
      </c>
      <c r="G642" s="1" t="s">
        <v>1977</v>
      </c>
      <c r="H642" s="3" t="str">
        <f t="shared" si="5"/>
        <v>ACCESSORIES</v>
      </c>
      <c r="I642" s="3" t="str">
        <f t="shared" si="6"/>
        <v>EARRINGS</v>
      </c>
      <c r="J642" s="3">
        <f t="shared" si="7"/>
        <v>5</v>
      </c>
      <c r="K642" s="3">
        <f t="shared" si="8"/>
        <v>336</v>
      </c>
      <c r="L642" s="4">
        <f t="shared" si="9"/>
        <v>0.1</v>
      </c>
      <c r="M642" s="3">
        <f t="shared" si="10"/>
        <v>1512</v>
      </c>
      <c r="N642" s="3">
        <f t="shared" si="11"/>
        <v>1058</v>
      </c>
      <c r="O642" s="3">
        <f t="shared" si="12"/>
        <v>454</v>
      </c>
      <c r="P642" s="3" t="str">
        <f t="shared" si="13"/>
        <v>UPI</v>
      </c>
      <c r="Q642" s="3" t="str">
        <f t="shared" si="14"/>
        <v>DELIVERED</v>
      </c>
    </row>
    <row r="643">
      <c r="A643" s="1" t="s">
        <v>1978</v>
      </c>
      <c r="B643" s="2">
        <f t="shared" si="1"/>
        <v>46077</v>
      </c>
      <c r="C643" s="1" t="s">
        <v>1979</v>
      </c>
      <c r="D643" s="3" t="str">
        <f t="shared" si="2"/>
        <v>SHOBN</v>
      </c>
      <c r="E643" s="3" t="str">
        <f t="shared" si="3"/>
        <v>KERALA</v>
      </c>
      <c r="F643" s="3" t="str">
        <f t="shared" si="4"/>
        <v>KOCHI</v>
      </c>
      <c r="G643" s="1" t="s">
        <v>1980</v>
      </c>
      <c r="H643" s="3" t="str">
        <f t="shared" si="5"/>
        <v>ELECTRONICS</v>
      </c>
      <c r="I643" s="3" t="str">
        <f t="shared" si="6"/>
        <v>WIRELESS EARBUDS</v>
      </c>
      <c r="J643" s="3">
        <f t="shared" si="7"/>
        <v>1</v>
      </c>
      <c r="K643" s="3">
        <f t="shared" si="8"/>
        <v>220</v>
      </c>
      <c r="L643" s="4">
        <f t="shared" si="9"/>
        <v>0.2</v>
      </c>
      <c r="M643" s="3">
        <f t="shared" si="10"/>
        <v>176</v>
      </c>
      <c r="N643" s="3">
        <f t="shared" si="11"/>
        <v>123</v>
      </c>
      <c r="O643" s="3">
        <f t="shared" si="12"/>
        <v>53</v>
      </c>
      <c r="P643" s="3" t="str">
        <f t="shared" si="13"/>
        <v>CARD</v>
      </c>
      <c r="Q643" s="3" t="str">
        <f t="shared" si="14"/>
        <v>SHIPPED</v>
      </c>
    </row>
    <row r="644">
      <c r="A644" s="1" t="s">
        <v>1981</v>
      </c>
      <c r="B644" s="2">
        <f t="shared" si="1"/>
        <v>46305</v>
      </c>
      <c r="C644" s="1" t="s">
        <v>1982</v>
      </c>
      <c r="D644" s="3" t="str">
        <f t="shared" si="2"/>
        <v>SOBI</v>
      </c>
      <c r="E644" s="3" t="str">
        <f t="shared" si="3"/>
        <v>KARNATAKA</v>
      </c>
      <c r="F644" s="3" t="str">
        <f t="shared" si="4"/>
        <v>BANGALURU</v>
      </c>
      <c r="G644" s="1" t="s">
        <v>1983</v>
      </c>
      <c r="H644" s="3" t="str">
        <f t="shared" si="5"/>
        <v>SPORTS</v>
      </c>
      <c r="I644" s="3" t="str">
        <f t="shared" si="6"/>
        <v>FOOTBALL</v>
      </c>
      <c r="J644" s="3">
        <f t="shared" si="7"/>
        <v>1</v>
      </c>
      <c r="K644" s="3">
        <f t="shared" si="8"/>
        <v>401</v>
      </c>
      <c r="L644" s="4">
        <f t="shared" si="9"/>
        <v>0.1</v>
      </c>
      <c r="M644" s="3">
        <f t="shared" si="10"/>
        <v>360.9</v>
      </c>
      <c r="N644" s="3">
        <f t="shared" si="11"/>
        <v>253</v>
      </c>
      <c r="O644" s="3">
        <f t="shared" si="12"/>
        <v>108</v>
      </c>
      <c r="P644" s="3" t="str">
        <f t="shared" si="13"/>
        <v>COD</v>
      </c>
      <c r="Q644" s="3" t="str">
        <f t="shared" si="14"/>
        <v>CANCELLED</v>
      </c>
    </row>
    <row r="645">
      <c r="A645" s="1" t="s">
        <v>1984</v>
      </c>
      <c r="B645" s="2">
        <f t="shared" si="1"/>
        <v>46152</v>
      </c>
      <c r="C645" s="1" t="s">
        <v>1985</v>
      </c>
      <c r="D645" s="3" t="str">
        <f t="shared" si="2"/>
        <v>SUJI</v>
      </c>
      <c r="E645" s="3" t="str">
        <f t="shared" si="3"/>
        <v>ANDHRA PRADESH</v>
      </c>
      <c r="F645" s="3" t="str">
        <f t="shared" si="4"/>
        <v>TIRUPATI</v>
      </c>
      <c r="G645" s="1" t="s">
        <v>1986</v>
      </c>
      <c r="H645" s="3" t="str">
        <f t="shared" si="5"/>
        <v>FOOD</v>
      </c>
      <c r="I645" s="3" t="str">
        <f t="shared" si="6"/>
        <v>BIRIYANI</v>
      </c>
      <c r="J645" s="3">
        <f t="shared" si="7"/>
        <v>1</v>
      </c>
      <c r="K645" s="3">
        <f t="shared" si="8"/>
        <v>214</v>
      </c>
      <c r="L645" s="4">
        <f t="shared" si="9"/>
        <v>0.5</v>
      </c>
      <c r="M645" s="3">
        <f t="shared" si="10"/>
        <v>107</v>
      </c>
      <c r="N645" s="3">
        <f t="shared" si="11"/>
        <v>75</v>
      </c>
      <c r="O645" s="3">
        <f t="shared" si="12"/>
        <v>32</v>
      </c>
      <c r="P645" s="3" t="str">
        <f t="shared" si="13"/>
        <v>NET BANKING</v>
      </c>
      <c r="Q645" s="3" t="str">
        <f t="shared" si="14"/>
        <v>RETURNED</v>
      </c>
    </row>
    <row r="646">
      <c r="A646" s="1" t="s">
        <v>1987</v>
      </c>
      <c r="B646" s="2">
        <f t="shared" si="1"/>
        <v>46062</v>
      </c>
      <c r="C646" s="1" t="s">
        <v>1988</v>
      </c>
      <c r="D646" s="3" t="str">
        <f t="shared" si="2"/>
        <v>RATHA</v>
      </c>
      <c r="E646" s="3" t="str">
        <f t="shared" si="3"/>
        <v>TELUGANA</v>
      </c>
      <c r="F646" s="3" t="str">
        <f t="shared" si="4"/>
        <v>HYDERABAD</v>
      </c>
      <c r="G646" s="1" t="s">
        <v>1989</v>
      </c>
      <c r="H646" s="3" t="str">
        <f t="shared" si="5"/>
        <v>DRESS</v>
      </c>
      <c r="I646" s="3" t="str">
        <f t="shared" si="6"/>
        <v>WOMEN WAERS</v>
      </c>
      <c r="J646" s="3">
        <f t="shared" si="7"/>
        <v>3</v>
      </c>
      <c r="K646" s="3">
        <f t="shared" si="8"/>
        <v>165</v>
      </c>
      <c r="L646" s="4">
        <f t="shared" si="9"/>
        <v>0.17</v>
      </c>
      <c r="M646" s="3">
        <f t="shared" si="10"/>
        <v>410.85</v>
      </c>
      <c r="N646" s="3">
        <f t="shared" si="11"/>
        <v>288</v>
      </c>
      <c r="O646" s="3">
        <f t="shared" si="12"/>
        <v>123</v>
      </c>
      <c r="P646" s="3" t="str">
        <f t="shared" si="13"/>
        <v>WALLET</v>
      </c>
      <c r="Q646" s="3" t="str">
        <f t="shared" si="14"/>
        <v>DELIVERED</v>
      </c>
    </row>
    <row r="647">
      <c r="A647" s="1" t="s">
        <v>1990</v>
      </c>
      <c r="B647" s="2">
        <f t="shared" si="1"/>
        <v>46209</v>
      </c>
      <c r="C647" s="1" t="s">
        <v>1991</v>
      </c>
      <c r="D647" s="3" t="str">
        <f t="shared" si="2"/>
        <v>SUSA</v>
      </c>
      <c r="E647" s="3" t="str">
        <f t="shared" si="3"/>
        <v>UTTHRA PRADESH</v>
      </c>
      <c r="F647" s="3" t="str">
        <f t="shared" si="4"/>
        <v>LUCKNOW</v>
      </c>
      <c r="G647" s="1" t="s">
        <v>1992</v>
      </c>
      <c r="H647" s="3" t="str">
        <f t="shared" si="5"/>
        <v>BEAUTY</v>
      </c>
      <c r="I647" s="3" t="str">
        <f t="shared" si="6"/>
        <v>KAJAL</v>
      </c>
      <c r="J647" s="3">
        <f t="shared" si="7"/>
        <v>5</v>
      </c>
      <c r="K647" s="3">
        <f t="shared" si="8"/>
        <v>312</v>
      </c>
      <c r="L647" s="4">
        <f t="shared" si="9"/>
        <v>0.5</v>
      </c>
      <c r="M647" s="3">
        <f t="shared" si="10"/>
        <v>780</v>
      </c>
      <c r="N647" s="3">
        <f t="shared" si="11"/>
        <v>546</v>
      </c>
      <c r="O647" s="3">
        <f t="shared" si="12"/>
        <v>234</v>
      </c>
      <c r="P647" s="3" t="str">
        <f t="shared" si="13"/>
        <v>UPI</v>
      </c>
      <c r="Q647" s="3" t="str">
        <f t="shared" si="14"/>
        <v>SHIPPED</v>
      </c>
    </row>
    <row r="648">
      <c r="A648" s="1" t="s">
        <v>1993</v>
      </c>
      <c r="B648" s="2">
        <f t="shared" si="1"/>
        <v>46299</v>
      </c>
      <c r="C648" s="1" t="s">
        <v>1994</v>
      </c>
      <c r="D648" s="3" t="str">
        <f t="shared" si="2"/>
        <v>NIVE</v>
      </c>
      <c r="E648" s="3" t="str">
        <f t="shared" si="3"/>
        <v>GUJARAT</v>
      </c>
      <c r="F648" s="3" t="str">
        <f t="shared" si="4"/>
        <v>SURAT</v>
      </c>
      <c r="G648" s="1" t="s">
        <v>1995</v>
      </c>
      <c r="H648" s="3" t="str">
        <f t="shared" si="5"/>
        <v>HOME &amp; KITCHEN</v>
      </c>
      <c r="I648" s="3" t="str">
        <f t="shared" si="6"/>
        <v>MIXER GRAINDER</v>
      </c>
      <c r="J648" s="3">
        <f t="shared" si="7"/>
        <v>4</v>
      </c>
      <c r="K648" s="3">
        <f t="shared" si="8"/>
        <v>172</v>
      </c>
      <c r="L648" s="4">
        <f t="shared" si="9"/>
        <v>0.17</v>
      </c>
      <c r="M648" s="3">
        <f t="shared" si="10"/>
        <v>571.04</v>
      </c>
      <c r="N648" s="3">
        <f t="shared" si="11"/>
        <v>400</v>
      </c>
      <c r="O648" s="3">
        <f t="shared" si="12"/>
        <v>171</v>
      </c>
      <c r="P648" s="3" t="str">
        <f t="shared" si="13"/>
        <v>CARD</v>
      </c>
      <c r="Q648" s="3" t="str">
        <f t="shared" si="14"/>
        <v>CANCELLED</v>
      </c>
    </row>
    <row r="649">
      <c r="A649" s="1" t="s">
        <v>1996</v>
      </c>
      <c r="B649" s="2">
        <f t="shared" si="1"/>
        <v>46328</v>
      </c>
      <c r="C649" s="1" t="s">
        <v>1997</v>
      </c>
      <c r="D649" s="3" t="str">
        <f t="shared" si="2"/>
        <v>VINO</v>
      </c>
      <c r="E649" s="3" t="str">
        <f t="shared" si="3"/>
        <v>RAJASTHAN</v>
      </c>
      <c r="F649" s="3" t="str">
        <f t="shared" si="4"/>
        <v>JAIPUR</v>
      </c>
      <c r="G649" s="1" t="s">
        <v>1998</v>
      </c>
      <c r="H649" s="3" t="str">
        <f t="shared" si="5"/>
        <v>BOOKS</v>
      </c>
      <c r="I649" s="3" t="str">
        <f t="shared" si="6"/>
        <v>LIFE OF PI</v>
      </c>
      <c r="J649" s="3">
        <f t="shared" si="7"/>
        <v>3</v>
      </c>
      <c r="K649" s="3">
        <f t="shared" si="8"/>
        <v>167</v>
      </c>
      <c r="L649" s="4">
        <f t="shared" si="9"/>
        <v>0.1</v>
      </c>
      <c r="M649" s="3">
        <f t="shared" si="10"/>
        <v>450.9</v>
      </c>
      <c r="N649" s="3">
        <f t="shared" si="11"/>
        <v>316</v>
      </c>
      <c r="O649" s="3">
        <f t="shared" si="12"/>
        <v>135</v>
      </c>
      <c r="P649" s="3" t="str">
        <f t="shared" si="13"/>
        <v>COD</v>
      </c>
      <c r="Q649" s="3" t="str">
        <f t="shared" si="14"/>
        <v>RETURNED</v>
      </c>
    </row>
    <row r="650">
      <c r="A650" s="1" t="s">
        <v>1999</v>
      </c>
      <c r="B650" s="2">
        <f t="shared" si="1"/>
        <v>46341</v>
      </c>
      <c r="C650" s="1" t="s">
        <v>2000</v>
      </c>
      <c r="D650" s="3" t="str">
        <f t="shared" si="2"/>
        <v>ABI</v>
      </c>
      <c r="E650" s="3" t="str">
        <f t="shared" si="3"/>
        <v>WEST BENGAL</v>
      </c>
      <c r="F650" s="3" t="str">
        <f t="shared" si="4"/>
        <v>KOLKATA</v>
      </c>
      <c r="G650" s="1" t="s">
        <v>2001</v>
      </c>
      <c r="H650" s="3" t="str">
        <f t="shared" si="5"/>
        <v>ACCESSORIES</v>
      </c>
      <c r="I650" s="3" t="str">
        <f t="shared" si="6"/>
        <v>EARRINGS</v>
      </c>
      <c r="J650" s="3">
        <f t="shared" si="7"/>
        <v>2</v>
      </c>
      <c r="K650" s="3">
        <f t="shared" si="8"/>
        <v>506</v>
      </c>
      <c r="L650" s="4">
        <f t="shared" si="9"/>
        <v>0.5</v>
      </c>
      <c r="M650" s="3">
        <f t="shared" si="10"/>
        <v>506</v>
      </c>
      <c r="N650" s="3">
        <f t="shared" si="11"/>
        <v>354</v>
      </c>
      <c r="O650" s="3">
        <f t="shared" si="12"/>
        <v>152</v>
      </c>
      <c r="P650" s="3" t="str">
        <f t="shared" si="13"/>
        <v>NET BANKING</v>
      </c>
      <c r="Q650" s="3" t="str">
        <f t="shared" si="14"/>
        <v>DELIVERED</v>
      </c>
    </row>
    <row r="651">
      <c r="A651" s="1" t="s">
        <v>2002</v>
      </c>
      <c r="B651" s="2">
        <f t="shared" si="1"/>
        <v>46344</v>
      </c>
      <c r="C651" s="1" t="s">
        <v>2003</v>
      </c>
      <c r="D651" s="3" t="str">
        <f t="shared" si="2"/>
        <v>NIHAAR</v>
      </c>
      <c r="E651" s="3" t="str">
        <f t="shared" si="3"/>
        <v>MAGARASTRA</v>
      </c>
      <c r="F651" s="3" t="str">
        <f t="shared" si="4"/>
        <v>PUNE</v>
      </c>
      <c r="G651" s="1" t="s">
        <v>2004</v>
      </c>
      <c r="H651" s="3" t="str">
        <f t="shared" si="5"/>
        <v>ELECTRONICS</v>
      </c>
      <c r="I651" s="3" t="str">
        <f t="shared" si="6"/>
        <v>WIRELESS EARBUDS</v>
      </c>
      <c r="J651" s="3">
        <f t="shared" si="7"/>
        <v>2</v>
      </c>
      <c r="K651" s="3">
        <f t="shared" si="8"/>
        <v>349</v>
      </c>
      <c r="L651" s="4">
        <f t="shared" si="9"/>
        <v>0.17</v>
      </c>
      <c r="M651" s="3">
        <f t="shared" si="10"/>
        <v>579.34</v>
      </c>
      <c r="N651" s="3">
        <f t="shared" si="11"/>
        <v>406</v>
      </c>
      <c r="O651" s="3">
        <f t="shared" si="12"/>
        <v>173</v>
      </c>
      <c r="P651" s="3" t="str">
        <f t="shared" si="13"/>
        <v>WALLET</v>
      </c>
      <c r="Q651" s="3" t="str">
        <f t="shared" si="14"/>
        <v>SHIPPED</v>
      </c>
    </row>
    <row r="652">
      <c r="A652" s="1" t="s">
        <v>2005</v>
      </c>
      <c r="B652" s="2">
        <f t="shared" si="1"/>
        <v>46274</v>
      </c>
      <c r="C652" s="1" t="s">
        <v>2006</v>
      </c>
      <c r="D652" s="3" t="str">
        <f t="shared" si="2"/>
        <v>SRI</v>
      </c>
      <c r="E652" s="3" t="str">
        <f t="shared" si="3"/>
        <v>TAMILNADU</v>
      </c>
      <c r="F652" s="3" t="str">
        <f t="shared" si="4"/>
        <v>THOOTHUKUDI</v>
      </c>
      <c r="G652" s="1" t="s">
        <v>2007</v>
      </c>
      <c r="H652" s="3" t="str">
        <f t="shared" si="5"/>
        <v>SPORTS</v>
      </c>
      <c r="I652" s="3" t="str">
        <f t="shared" si="6"/>
        <v>FOOTBALL</v>
      </c>
      <c r="J652" s="3">
        <f t="shared" si="7"/>
        <v>4</v>
      </c>
      <c r="K652" s="3">
        <f t="shared" si="8"/>
        <v>123</v>
      </c>
      <c r="L652" s="4">
        <f t="shared" si="9"/>
        <v>0</v>
      </c>
      <c r="M652" s="3">
        <f t="shared" si="10"/>
        <v>492</v>
      </c>
      <c r="N652" s="3">
        <f t="shared" si="11"/>
        <v>344</v>
      </c>
      <c r="O652" s="3">
        <f t="shared" si="12"/>
        <v>148</v>
      </c>
      <c r="P652" s="3" t="str">
        <f t="shared" si="13"/>
        <v>UPI</v>
      </c>
      <c r="Q652" s="3" t="str">
        <f t="shared" si="14"/>
        <v>CANCELLED</v>
      </c>
    </row>
    <row r="653">
      <c r="A653" s="1" t="s">
        <v>2008</v>
      </c>
      <c r="B653" s="2">
        <f t="shared" si="1"/>
        <v>46038</v>
      </c>
      <c r="C653" s="1" t="s">
        <v>2009</v>
      </c>
      <c r="D653" s="3" t="str">
        <f t="shared" si="2"/>
        <v>SHOBN</v>
      </c>
      <c r="E653" s="3" t="str">
        <f t="shared" si="3"/>
        <v>KERALA</v>
      </c>
      <c r="F653" s="3" t="str">
        <f t="shared" si="4"/>
        <v>KOCHI</v>
      </c>
      <c r="G653" s="1" t="s">
        <v>2010</v>
      </c>
      <c r="H653" s="3" t="str">
        <f t="shared" si="5"/>
        <v>FOOD</v>
      </c>
      <c r="I653" s="3" t="str">
        <f t="shared" si="6"/>
        <v>BIRIYANI</v>
      </c>
      <c r="J653" s="3">
        <f t="shared" si="7"/>
        <v>2</v>
      </c>
      <c r="K653" s="3">
        <f t="shared" si="8"/>
        <v>445</v>
      </c>
      <c r="L653" s="4">
        <f t="shared" si="9"/>
        <v>0.17</v>
      </c>
      <c r="M653" s="3">
        <f t="shared" si="10"/>
        <v>738.7</v>
      </c>
      <c r="N653" s="3">
        <f t="shared" si="11"/>
        <v>517</v>
      </c>
      <c r="O653" s="3">
        <f t="shared" si="12"/>
        <v>222</v>
      </c>
      <c r="P653" s="3" t="str">
        <f t="shared" si="13"/>
        <v>CARD</v>
      </c>
      <c r="Q653" s="3" t="str">
        <f t="shared" si="14"/>
        <v>RETURNED</v>
      </c>
    </row>
    <row r="654">
      <c r="A654" s="1" t="s">
        <v>2011</v>
      </c>
      <c r="B654" s="2">
        <f t="shared" si="1"/>
        <v>46024</v>
      </c>
      <c r="C654" s="1" t="s">
        <v>2012</v>
      </c>
      <c r="D654" s="3" t="str">
        <f t="shared" si="2"/>
        <v>SOBI</v>
      </c>
      <c r="E654" s="3" t="str">
        <f t="shared" si="3"/>
        <v>KARNATAKA</v>
      </c>
      <c r="F654" s="3" t="str">
        <f t="shared" si="4"/>
        <v>BANGALURU</v>
      </c>
      <c r="G654" s="1" t="s">
        <v>2013</v>
      </c>
      <c r="H654" s="3" t="str">
        <f t="shared" si="5"/>
        <v>DRESS</v>
      </c>
      <c r="I654" s="3" t="str">
        <f t="shared" si="6"/>
        <v>WOMEN WAERS</v>
      </c>
      <c r="J654" s="3">
        <f t="shared" si="7"/>
        <v>5</v>
      </c>
      <c r="K654" s="3">
        <f t="shared" si="8"/>
        <v>105</v>
      </c>
      <c r="L654" s="4">
        <f t="shared" si="9"/>
        <v>0.1</v>
      </c>
      <c r="M654" s="3">
        <f t="shared" si="10"/>
        <v>472.5</v>
      </c>
      <c r="N654" s="3">
        <f t="shared" si="11"/>
        <v>331</v>
      </c>
      <c r="O654" s="3">
        <f t="shared" si="12"/>
        <v>142</v>
      </c>
      <c r="P654" s="3" t="str">
        <f t="shared" si="13"/>
        <v>COD</v>
      </c>
      <c r="Q654" s="3" t="str">
        <f t="shared" si="14"/>
        <v>DELIVERED</v>
      </c>
    </row>
    <row r="655">
      <c r="A655" s="1" t="s">
        <v>2014</v>
      </c>
      <c r="B655" s="2">
        <f t="shared" si="1"/>
        <v>46095</v>
      </c>
      <c r="C655" s="1" t="s">
        <v>2015</v>
      </c>
      <c r="D655" s="3" t="str">
        <f t="shared" si="2"/>
        <v>SUJI</v>
      </c>
      <c r="E655" s="3" t="str">
        <f t="shared" si="3"/>
        <v>ANDHRA PRADESH</v>
      </c>
      <c r="F655" s="3" t="str">
        <f t="shared" si="4"/>
        <v>TIRUPATI</v>
      </c>
      <c r="G655" s="1" t="s">
        <v>2016</v>
      </c>
      <c r="H655" s="3" t="str">
        <f t="shared" si="5"/>
        <v>BEAUTY</v>
      </c>
      <c r="I655" s="3" t="str">
        <f t="shared" si="6"/>
        <v>KAJAL</v>
      </c>
      <c r="J655" s="3">
        <f t="shared" si="7"/>
        <v>1</v>
      </c>
      <c r="K655" s="3">
        <f t="shared" si="8"/>
        <v>205</v>
      </c>
      <c r="L655" s="4">
        <f t="shared" si="9"/>
        <v>0.1</v>
      </c>
      <c r="M655" s="3">
        <f t="shared" si="10"/>
        <v>184.5</v>
      </c>
      <c r="N655" s="3">
        <f t="shared" si="11"/>
        <v>129</v>
      </c>
      <c r="O655" s="3">
        <f t="shared" si="12"/>
        <v>56</v>
      </c>
      <c r="P655" s="3" t="str">
        <f t="shared" si="13"/>
        <v>NET BANKING</v>
      </c>
      <c r="Q655" s="3" t="str">
        <f t="shared" si="14"/>
        <v>SHIPPED</v>
      </c>
    </row>
    <row r="656">
      <c r="A656" s="1" t="s">
        <v>2017</v>
      </c>
      <c r="B656" s="2">
        <f t="shared" si="1"/>
        <v>46312</v>
      </c>
      <c r="C656" s="1" t="s">
        <v>2018</v>
      </c>
      <c r="D656" s="3" t="str">
        <f t="shared" si="2"/>
        <v>RATHA</v>
      </c>
      <c r="E656" s="3" t="str">
        <f t="shared" si="3"/>
        <v>TELUGANA</v>
      </c>
      <c r="F656" s="3" t="str">
        <f t="shared" si="4"/>
        <v>HYDERABAD</v>
      </c>
      <c r="G656" s="1" t="s">
        <v>2019</v>
      </c>
      <c r="H656" s="3" t="str">
        <f t="shared" si="5"/>
        <v>HOME &amp; KITCHEN</v>
      </c>
      <c r="I656" s="3" t="str">
        <f t="shared" si="6"/>
        <v>MIXER GRAINDER</v>
      </c>
      <c r="J656" s="3">
        <f t="shared" si="7"/>
        <v>1</v>
      </c>
      <c r="K656" s="3">
        <f t="shared" si="8"/>
        <v>393</v>
      </c>
      <c r="L656" s="4">
        <f t="shared" si="9"/>
        <v>0</v>
      </c>
      <c r="M656" s="3">
        <f t="shared" si="10"/>
        <v>393</v>
      </c>
      <c r="N656" s="3">
        <f t="shared" si="11"/>
        <v>275</v>
      </c>
      <c r="O656" s="3">
        <f t="shared" si="12"/>
        <v>118</v>
      </c>
      <c r="P656" s="3" t="str">
        <f t="shared" si="13"/>
        <v>WALLET</v>
      </c>
      <c r="Q656" s="3" t="str">
        <f t="shared" si="14"/>
        <v>CANCELLED</v>
      </c>
    </row>
    <row r="657">
      <c r="A657" s="1" t="s">
        <v>2020</v>
      </c>
      <c r="B657" s="2">
        <f t="shared" si="1"/>
        <v>46327</v>
      </c>
      <c r="C657" s="1" t="s">
        <v>2021</v>
      </c>
      <c r="D657" s="3" t="str">
        <f t="shared" si="2"/>
        <v>SUSA</v>
      </c>
      <c r="E657" s="3" t="str">
        <f t="shared" si="3"/>
        <v>UTTHRA PRADESH</v>
      </c>
      <c r="F657" s="3" t="str">
        <f t="shared" si="4"/>
        <v>LUCKNOW</v>
      </c>
      <c r="G657" s="1" t="s">
        <v>2022</v>
      </c>
      <c r="H657" s="3" t="str">
        <f t="shared" si="5"/>
        <v>BOOKS</v>
      </c>
      <c r="I657" s="3" t="str">
        <f t="shared" si="6"/>
        <v>LIFE OF PI</v>
      </c>
      <c r="J657" s="3">
        <f t="shared" si="7"/>
        <v>5</v>
      </c>
      <c r="K657" s="3">
        <f t="shared" si="8"/>
        <v>162</v>
      </c>
      <c r="L657" s="4">
        <f t="shared" si="9"/>
        <v>0.1</v>
      </c>
      <c r="M657" s="3">
        <f t="shared" si="10"/>
        <v>729</v>
      </c>
      <c r="N657" s="3">
        <f t="shared" si="11"/>
        <v>510</v>
      </c>
      <c r="O657" s="3">
        <f t="shared" si="12"/>
        <v>219</v>
      </c>
      <c r="P657" s="3" t="str">
        <f t="shared" si="13"/>
        <v>UPI</v>
      </c>
      <c r="Q657" s="3" t="str">
        <f t="shared" si="14"/>
        <v>RETURNED</v>
      </c>
    </row>
    <row r="658">
      <c r="A658" s="1" t="s">
        <v>2023</v>
      </c>
      <c r="B658" s="2">
        <f t="shared" si="1"/>
        <v>46167</v>
      </c>
      <c r="C658" s="1" t="s">
        <v>2024</v>
      </c>
      <c r="D658" s="3" t="str">
        <f t="shared" si="2"/>
        <v>NIVE</v>
      </c>
      <c r="E658" s="3" t="str">
        <f t="shared" si="3"/>
        <v>GUJARAT</v>
      </c>
      <c r="F658" s="3" t="str">
        <f t="shared" si="4"/>
        <v>SURAT</v>
      </c>
      <c r="G658" s="1" t="s">
        <v>2025</v>
      </c>
      <c r="H658" s="3" t="str">
        <f t="shared" si="5"/>
        <v>ACCESSORIES</v>
      </c>
      <c r="I658" s="3" t="str">
        <f t="shared" si="6"/>
        <v>EARRINGS</v>
      </c>
      <c r="J658" s="3">
        <f t="shared" si="7"/>
        <v>2</v>
      </c>
      <c r="K658" s="3">
        <f t="shared" si="8"/>
        <v>450</v>
      </c>
      <c r="L658" s="4">
        <f t="shared" si="9"/>
        <v>0.15</v>
      </c>
      <c r="M658" s="3">
        <f t="shared" si="10"/>
        <v>765</v>
      </c>
      <c r="N658" s="3">
        <f t="shared" si="11"/>
        <v>536</v>
      </c>
      <c r="O658" s="3">
        <f t="shared" si="12"/>
        <v>229</v>
      </c>
      <c r="P658" s="3" t="str">
        <f t="shared" si="13"/>
        <v>CARD</v>
      </c>
      <c r="Q658" s="3" t="str">
        <f t="shared" si="14"/>
        <v>DELIVERED</v>
      </c>
    </row>
    <row r="659">
      <c r="A659" s="1" t="s">
        <v>2026</v>
      </c>
      <c r="B659" s="2">
        <f t="shared" si="1"/>
        <v>46256</v>
      </c>
      <c r="C659" s="1" t="s">
        <v>2027</v>
      </c>
      <c r="D659" s="3" t="str">
        <f t="shared" si="2"/>
        <v>VINO</v>
      </c>
      <c r="E659" s="3" t="str">
        <f t="shared" si="3"/>
        <v>RAJASTHAN</v>
      </c>
      <c r="F659" s="3" t="str">
        <f t="shared" si="4"/>
        <v>JAIPUR</v>
      </c>
      <c r="G659" s="1" t="s">
        <v>2028</v>
      </c>
      <c r="H659" s="3" t="str">
        <f t="shared" si="5"/>
        <v>ELECTRONICS</v>
      </c>
      <c r="I659" s="3" t="str">
        <f t="shared" si="6"/>
        <v>WIRELESS EARBUDS</v>
      </c>
      <c r="J659" s="3">
        <f t="shared" si="7"/>
        <v>1</v>
      </c>
      <c r="K659" s="3">
        <f t="shared" si="8"/>
        <v>385</v>
      </c>
      <c r="L659" s="4">
        <f t="shared" si="9"/>
        <v>0</v>
      </c>
      <c r="M659" s="3">
        <f t="shared" si="10"/>
        <v>385</v>
      </c>
      <c r="N659" s="3">
        <f t="shared" si="11"/>
        <v>270</v>
      </c>
      <c r="O659" s="3">
        <f t="shared" si="12"/>
        <v>115</v>
      </c>
      <c r="P659" s="3" t="str">
        <f t="shared" si="13"/>
        <v>COD</v>
      </c>
      <c r="Q659" s="3" t="str">
        <f t="shared" si="14"/>
        <v>SHIPPED</v>
      </c>
    </row>
    <row r="660">
      <c r="A660" s="1" t="s">
        <v>2029</v>
      </c>
      <c r="B660" s="2">
        <f t="shared" si="1"/>
        <v>46089</v>
      </c>
      <c r="C660" s="1" t="s">
        <v>2030</v>
      </c>
      <c r="D660" s="3" t="str">
        <f t="shared" si="2"/>
        <v>ABI</v>
      </c>
      <c r="E660" s="3" t="str">
        <f t="shared" si="3"/>
        <v>WEST BENGAL</v>
      </c>
      <c r="F660" s="3" t="str">
        <f t="shared" si="4"/>
        <v>KOLKATA</v>
      </c>
      <c r="G660" s="1" t="s">
        <v>2031</v>
      </c>
      <c r="H660" s="3" t="str">
        <f t="shared" si="5"/>
        <v>SPORTS</v>
      </c>
      <c r="I660" s="3" t="str">
        <f t="shared" si="6"/>
        <v>FOOTBALL</v>
      </c>
      <c r="J660" s="3">
        <f t="shared" si="7"/>
        <v>3</v>
      </c>
      <c r="K660" s="3">
        <f t="shared" si="8"/>
        <v>508</v>
      </c>
      <c r="L660" s="4">
        <f t="shared" si="9"/>
        <v>0.17</v>
      </c>
      <c r="M660" s="3">
        <f t="shared" si="10"/>
        <v>1264.92</v>
      </c>
      <c r="N660" s="3">
        <f t="shared" si="11"/>
        <v>885</v>
      </c>
      <c r="O660" s="3">
        <f t="shared" si="12"/>
        <v>380</v>
      </c>
      <c r="P660" s="3" t="str">
        <f t="shared" si="13"/>
        <v>NET BANKING</v>
      </c>
      <c r="Q660" s="3" t="str">
        <f t="shared" si="14"/>
        <v>CANCELLED</v>
      </c>
    </row>
    <row r="661">
      <c r="A661" s="1" t="s">
        <v>2032</v>
      </c>
      <c r="B661" s="2">
        <f t="shared" si="1"/>
        <v>46061</v>
      </c>
      <c r="C661" s="1" t="s">
        <v>2033</v>
      </c>
      <c r="D661" s="3" t="str">
        <f t="shared" si="2"/>
        <v>NIHAAR</v>
      </c>
      <c r="E661" s="3" t="str">
        <f t="shared" si="3"/>
        <v>MAGARASTRA</v>
      </c>
      <c r="F661" s="3" t="str">
        <f t="shared" si="4"/>
        <v>PUNE</v>
      </c>
      <c r="G661" s="1" t="s">
        <v>2034</v>
      </c>
      <c r="H661" s="3" t="str">
        <f t="shared" si="5"/>
        <v>FOOD</v>
      </c>
      <c r="I661" s="3" t="str">
        <f t="shared" si="6"/>
        <v>BIRIYANI</v>
      </c>
      <c r="J661" s="3">
        <f t="shared" si="7"/>
        <v>5</v>
      </c>
      <c r="K661" s="3">
        <f t="shared" si="8"/>
        <v>224</v>
      </c>
      <c r="L661" s="4">
        <f t="shared" si="9"/>
        <v>0.17</v>
      </c>
      <c r="M661" s="3">
        <f t="shared" si="10"/>
        <v>929.6</v>
      </c>
      <c r="N661" s="3">
        <f t="shared" si="11"/>
        <v>651</v>
      </c>
      <c r="O661" s="3">
        <f t="shared" si="12"/>
        <v>279</v>
      </c>
      <c r="P661" s="3" t="str">
        <f t="shared" si="13"/>
        <v>WALLET</v>
      </c>
      <c r="Q661" s="3" t="str">
        <f t="shared" si="14"/>
        <v>RETURNED</v>
      </c>
    </row>
    <row r="662">
      <c r="A662" s="1" t="s">
        <v>2035</v>
      </c>
      <c r="B662" s="2">
        <f t="shared" si="1"/>
        <v>46068</v>
      </c>
      <c r="C662" s="1" t="s">
        <v>2036</v>
      </c>
      <c r="D662" s="3" t="str">
        <f t="shared" si="2"/>
        <v>SRI</v>
      </c>
      <c r="E662" s="3" t="str">
        <f t="shared" si="3"/>
        <v>TAMILNADU</v>
      </c>
      <c r="F662" s="3" t="str">
        <f t="shared" si="4"/>
        <v>THOOTHUKUDI</v>
      </c>
      <c r="G662" s="1" t="s">
        <v>2037</v>
      </c>
      <c r="H662" s="3" t="str">
        <f t="shared" si="5"/>
        <v>DRESS</v>
      </c>
      <c r="I662" s="3" t="str">
        <f t="shared" si="6"/>
        <v>WOMEN WAERS</v>
      </c>
      <c r="J662" s="3">
        <f t="shared" si="7"/>
        <v>1</v>
      </c>
      <c r="K662" s="3">
        <f t="shared" si="8"/>
        <v>169</v>
      </c>
      <c r="L662" s="4">
        <f t="shared" si="9"/>
        <v>0.5</v>
      </c>
      <c r="M662" s="3">
        <f t="shared" si="10"/>
        <v>84.5</v>
      </c>
      <c r="N662" s="3">
        <f t="shared" si="11"/>
        <v>59</v>
      </c>
      <c r="O662" s="3">
        <f t="shared" si="12"/>
        <v>26</v>
      </c>
      <c r="P662" s="3" t="str">
        <f t="shared" si="13"/>
        <v>UPI</v>
      </c>
      <c r="Q662" s="3" t="str">
        <f t="shared" si="14"/>
        <v>DELIVERED</v>
      </c>
    </row>
    <row r="663">
      <c r="A663" s="1" t="s">
        <v>2038</v>
      </c>
      <c r="B663" s="2">
        <f t="shared" si="1"/>
        <v>46067</v>
      </c>
      <c r="C663" s="1" t="s">
        <v>2039</v>
      </c>
      <c r="D663" s="3" t="str">
        <f t="shared" si="2"/>
        <v>SHOBN</v>
      </c>
      <c r="E663" s="3" t="str">
        <f t="shared" si="3"/>
        <v>KERALA</v>
      </c>
      <c r="F663" s="3" t="str">
        <f t="shared" si="4"/>
        <v>KOCHI</v>
      </c>
      <c r="G663" s="1" t="s">
        <v>2040</v>
      </c>
      <c r="H663" s="3" t="str">
        <f t="shared" si="5"/>
        <v>BEAUTY</v>
      </c>
      <c r="I663" s="3" t="str">
        <f t="shared" si="6"/>
        <v>KAJAL</v>
      </c>
      <c r="J663" s="3">
        <f t="shared" si="7"/>
        <v>2</v>
      </c>
      <c r="K663" s="3">
        <f t="shared" si="8"/>
        <v>288</v>
      </c>
      <c r="L663" s="4">
        <f t="shared" si="9"/>
        <v>0.17</v>
      </c>
      <c r="M663" s="3">
        <f t="shared" si="10"/>
        <v>478.08</v>
      </c>
      <c r="N663" s="3">
        <f t="shared" si="11"/>
        <v>335</v>
      </c>
      <c r="O663" s="3">
        <f t="shared" si="12"/>
        <v>143</v>
      </c>
      <c r="P663" s="3" t="str">
        <f t="shared" si="13"/>
        <v>CARD</v>
      </c>
      <c r="Q663" s="3" t="str">
        <f t="shared" si="14"/>
        <v>SHIPPED</v>
      </c>
    </row>
    <row r="664">
      <c r="A664" s="1" t="s">
        <v>2041</v>
      </c>
      <c r="B664" s="2">
        <f t="shared" si="1"/>
        <v>46309</v>
      </c>
      <c r="C664" s="1" t="s">
        <v>2042</v>
      </c>
      <c r="D664" s="3" t="str">
        <f t="shared" si="2"/>
        <v>SOBI</v>
      </c>
      <c r="E664" s="3" t="str">
        <f t="shared" si="3"/>
        <v>KARNATAKA</v>
      </c>
      <c r="F664" s="3" t="str">
        <f t="shared" si="4"/>
        <v>BANGALURU</v>
      </c>
      <c r="G664" s="1" t="s">
        <v>2043</v>
      </c>
      <c r="H664" s="3" t="str">
        <f t="shared" si="5"/>
        <v>HOME &amp; KITCHEN</v>
      </c>
      <c r="I664" s="3" t="str">
        <f t="shared" si="6"/>
        <v>MIXER GRAINDER</v>
      </c>
      <c r="J664" s="3">
        <f t="shared" si="7"/>
        <v>4</v>
      </c>
      <c r="K664" s="3">
        <f t="shared" si="8"/>
        <v>245</v>
      </c>
      <c r="L664" s="4">
        <f t="shared" si="9"/>
        <v>0</v>
      </c>
      <c r="M664" s="3">
        <f t="shared" si="10"/>
        <v>980</v>
      </c>
      <c r="N664" s="3">
        <f t="shared" si="11"/>
        <v>686</v>
      </c>
      <c r="O664" s="3">
        <f t="shared" si="12"/>
        <v>294</v>
      </c>
      <c r="P664" s="3" t="str">
        <f t="shared" si="13"/>
        <v>COD</v>
      </c>
      <c r="Q664" s="3" t="str">
        <f t="shared" si="14"/>
        <v>CANCELLED</v>
      </c>
    </row>
    <row r="665">
      <c r="A665" s="1" t="s">
        <v>2044</v>
      </c>
      <c r="B665" s="2">
        <f t="shared" si="1"/>
        <v>46216</v>
      </c>
      <c r="C665" s="1" t="s">
        <v>2045</v>
      </c>
      <c r="D665" s="3" t="str">
        <f t="shared" si="2"/>
        <v>SUJI</v>
      </c>
      <c r="E665" s="3" t="str">
        <f t="shared" si="3"/>
        <v>ANDHRA PRADESH</v>
      </c>
      <c r="F665" s="3" t="str">
        <f t="shared" si="4"/>
        <v>TIRUPATI</v>
      </c>
      <c r="G665" s="1" t="s">
        <v>2046</v>
      </c>
      <c r="H665" s="3" t="str">
        <f t="shared" si="5"/>
        <v>BOOKS</v>
      </c>
      <c r="I665" s="3" t="str">
        <f t="shared" si="6"/>
        <v>LIFE OF PI</v>
      </c>
      <c r="J665" s="3">
        <f t="shared" si="7"/>
        <v>3</v>
      </c>
      <c r="K665" s="3">
        <f t="shared" si="8"/>
        <v>413</v>
      </c>
      <c r="L665" s="4">
        <f t="shared" si="9"/>
        <v>0.1</v>
      </c>
      <c r="M665" s="3">
        <f t="shared" si="10"/>
        <v>1115.1</v>
      </c>
      <c r="N665" s="3">
        <f t="shared" si="11"/>
        <v>781</v>
      </c>
      <c r="O665" s="3">
        <f t="shared" si="12"/>
        <v>334</v>
      </c>
      <c r="P665" s="3" t="str">
        <f t="shared" si="13"/>
        <v>NET BANKING</v>
      </c>
      <c r="Q665" s="3" t="str">
        <f t="shared" si="14"/>
        <v>RETURNED</v>
      </c>
    </row>
    <row r="666">
      <c r="A666" s="1" t="s">
        <v>2047</v>
      </c>
      <c r="B666" s="2">
        <f t="shared" si="1"/>
        <v>46268</v>
      </c>
      <c r="C666" s="1" t="s">
        <v>2048</v>
      </c>
      <c r="D666" s="3" t="str">
        <f t="shared" si="2"/>
        <v>RATHA</v>
      </c>
      <c r="E666" s="3" t="str">
        <f t="shared" si="3"/>
        <v>TELUGANA</v>
      </c>
      <c r="F666" s="3" t="str">
        <f t="shared" si="4"/>
        <v>HYDERABAD</v>
      </c>
      <c r="G666" s="1" t="s">
        <v>2049</v>
      </c>
      <c r="H666" s="3" t="str">
        <f t="shared" si="5"/>
        <v>ACCESSORIES</v>
      </c>
      <c r="I666" s="3" t="str">
        <f t="shared" si="6"/>
        <v>EARRINGS</v>
      </c>
      <c r="J666" s="3">
        <f t="shared" si="7"/>
        <v>4</v>
      </c>
      <c r="K666" s="3">
        <f t="shared" si="8"/>
        <v>123</v>
      </c>
      <c r="L666" s="4">
        <f t="shared" si="9"/>
        <v>0.17</v>
      </c>
      <c r="M666" s="3">
        <f t="shared" si="10"/>
        <v>408.36</v>
      </c>
      <c r="N666" s="3">
        <f t="shared" si="11"/>
        <v>286</v>
      </c>
      <c r="O666" s="3">
        <f t="shared" si="12"/>
        <v>122</v>
      </c>
      <c r="P666" s="3" t="str">
        <f t="shared" si="13"/>
        <v>WALLET</v>
      </c>
      <c r="Q666" s="3" t="str">
        <f t="shared" si="14"/>
        <v>DELIVERED</v>
      </c>
    </row>
    <row r="667">
      <c r="A667" s="1" t="s">
        <v>2050</v>
      </c>
      <c r="B667" s="2">
        <f t="shared" si="1"/>
        <v>46383</v>
      </c>
      <c r="C667" s="1" t="s">
        <v>2051</v>
      </c>
      <c r="D667" s="3" t="str">
        <f t="shared" si="2"/>
        <v>SUSA</v>
      </c>
      <c r="E667" s="3" t="str">
        <f t="shared" si="3"/>
        <v>UTTHRA PRADESH</v>
      </c>
      <c r="F667" s="3" t="str">
        <f t="shared" si="4"/>
        <v>LUCKNOW</v>
      </c>
      <c r="G667" s="1" t="s">
        <v>2052</v>
      </c>
      <c r="H667" s="3" t="str">
        <f t="shared" si="5"/>
        <v>ELECTRONICS</v>
      </c>
      <c r="I667" s="3" t="str">
        <f t="shared" si="6"/>
        <v>WIRELESS EARBUDS</v>
      </c>
      <c r="J667" s="3">
        <f t="shared" si="7"/>
        <v>5</v>
      </c>
      <c r="K667" s="3">
        <f t="shared" si="8"/>
        <v>475</v>
      </c>
      <c r="L667" s="4">
        <f t="shared" si="9"/>
        <v>0.1</v>
      </c>
      <c r="M667" s="3">
        <f t="shared" si="10"/>
        <v>2137.5</v>
      </c>
      <c r="N667" s="3">
        <f t="shared" si="11"/>
        <v>1496</v>
      </c>
      <c r="O667" s="3">
        <f t="shared" si="12"/>
        <v>642</v>
      </c>
      <c r="P667" s="3" t="str">
        <f t="shared" si="13"/>
        <v>UPI</v>
      </c>
      <c r="Q667" s="3" t="str">
        <f t="shared" si="14"/>
        <v>SHIPPED</v>
      </c>
    </row>
    <row r="668">
      <c r="A668" s="1" t="s">
        <v>2053</v>
      </c>
      <c r="B668" s="2">
        <f t="shared" si="1"/>
        <v>46177</v>
      </c>
      <c r="C668" s="1" t="s">
        <v>2054</v>
      </c>
      <c r="D668" s="3" t="str">
        <f t="shared" si="2"/>
        <v>NIVE</v>
      </c>
      <c r="E668" s="3" t="str">
        <f t="shared" si="3"/>
        <v>GUJARAT</v>
      </c>
      <c r="F668" s="3" t="str">
        <f t="shared" si="4"/>
        <v>SURAT</v>
      </c>
      <c r="G668" s="1" t="s">
        <v>2055</v>
      </c>
      <c r="H668" s="3" t="str">
        <f t="shared" si="5"/>
        <v>SPORTS</v>
      </c>
      <c r="I668" s="3" t="str">
        <f t="shared" si="6"/>
        <v>FOOTBALL</v>
      </c>
      <c r="J668" s="3">
        <f t="shared" si="7"/>
        <v>1</v>
      </c>
      <c r="K668" s="3">
        <f t="shared" si="8"/>
        <v>570</v>
      </c>
      <c r="L668" s="4">
        <f t="shared" si="9"/>
        <v>0.17</v>
      </c>
      <c r="M668" s="3">
        <f t="shared" si="10"/>
        <v>473.1</v>
      </c>
      <c r="N668" s="3">
        <f t="shared" si="11"/>
        <v>331</v>
      </c>
      <c r="O668" s="3">
        <f t="shared" si="12"/>
        <v>142</v>
      </c>
      <c r="P668" s="3" t="str">
        <f t="shared" si="13"/>
        <v>CARD</v>
      </c>
      <c r="Q668" s="3" t="str">
        <f t="shared" si="14"/>
        <v>CANCELLED</v>
      </c>
    </row>
    <row r="669">
      <c r="A669" s="1" t="s">
        <v>2056</v>
      </c>
      <c r="B669" s="2">
        <f t="shared" si="1"/>
        <v>46211</v>
      </c>
      <c r="C669" s="1" t="s">
        <v>2057</v>
      </c>
      <c r="D669" s="3" t="str">
        <f t="shared" si="2"/>
        <v>VINO</v>
      </c>
      <c r="E669" s="3" t="str">
        <f t="shared" si="3"/>
        <v>RAJASTHAN</v>
      </c>
      <c r="F669" s="3" t="str">
        <f t="shared" si="4"/>
        <v>JAIPUR</v>
      </c>
      <c r="G669" s="1" t="s">
        <v>2058</v>
      </c>
      <c r="H669" s="3" t="str">
        <f t="shared" si="5"/>
        <v>FOOD</v>
      </c>
      <c r="I669" s="3" t="str">
        <f t="shared" si="6"/>
        <v>BIRIYANI</v>
      </c>
      <c r="J669" s="3">
        <f t="shared" si="7"/>
        <v>5</v>
      </c>
      <c r="K669" s="3">
        <f t="shared" si="8"/>
        <v>100</v>
      </c>
      <c r="L669" s="4">
        <f t="shared" si="9"/>
        <v>0</v>
      </c>
      <c r="M669" s="3">
        <f t="shared" si="10"/>
        <v>500</v>
      </c>
      <c r="N669" s="3">
        <f t="shared" si="11"/>
        <v>350</v>
      </c>
      <c r="O669" s="3">
        <f t="shared" si="12"/>
        <v>150</v>
      </c>
      <c r="P669" s="3" t="str">
        <f t="shared" si="13"/>
        <v>COD</v>
      </c>
      <c r="Q669" s="3" t="str">
        <f t="shared" si="14"/>
        <v>RETURNED</v>
      </c>
    </row>
    <row r="670">
      <c r="A670" s="1" t="s">
        <v>2059</v>
      </c>
      <c r="B670" s="2">
        <f t="shared" si="1"/>
        <v>46158</v>
      </c>
      <c r="C670" s="1" t="s">
        <v>2060</v>
      </c>
      <c r="D670" s="3" t="str">
        <f t="shared" si="2"/>
        <v>ABI</v>
      </c>
      <c r="E670" s="3" t="str">
        <f t="shared" si="3"/>
        <v>WEST BENGAL</v>
      </c>
      <c r="F670" s="3" t="str">
        <f t="shared" si="4"/>
        <v>KOLKATA</v>
      </c>
      <c r="G670" s="1" t="s">
        <v>2061</v>
      </c>
      <c r="H670" s="3" t="str">
        <f t="shared" si="5"/>
        <v>DRESS</v>
      </c>
      <c r="I670" s="3" t="str">
        <f t="shared" si="6"/>
        <v>WOMEN WAERS</v>
      </c>
      <c r="J670" s="3">
        <f t="shared" si="7"/>
        <v>4</v>
      </c>
      <c r="K670" s="3">
        <f t="shared" si="8"/>
        <v>309</v>
      </c>
      <c r="L670" s="4">
        <f t="shared" si="9"/>
        <v>0.2</v>
      </c>
      <c r="M670" s="3">
        <f t="shared" si="10"/>
        <v>988.8</v>
      </c>
      <c r="N670" s="3">
        <f t="shared" si="11"/>
        <v>692</v>
      </c>
      <c r="O670" s="3">
        <f t="shared" si="12"/>
        <v>297</v>
      </c>
      <c r="P670" s="3" t="str">
        <f t="shared" si="13"/>
        <v>NET BANKING</v>
      </c>
      <c r="Q670" s="3" t="str">
        <f t="shared" si="14"/>
        <v>DELIVERED</v>
      </c>
    </row>
    <row r="671">
      <c r="A671" s="1" t="s">
        <v>2062</v>
      </c>
      <c r="B671" s="2">
        <f t="shared" si="1"/>
        <v>46332</v>
      </c>
      <c r="C671" s="1" t="s">
        <v>2063</v>
      </c>
      <c r="D671" s="3" t="str">
        <f t="shared" si="2"/>
        <v>NIHAAR</v>
      </c>
      <c r="E671" s="3" t="str">
        <f t="shared" si="3"/>
        <v>MAGARASTRA</v>
      </c>
      <c r="F671" s="3" t="str">
        <f t="shared" si="4"/>
        <v>PUNE</v>
      </c>
      <c r="G671" s="1" t="s">
        <v>2064</v>
      </c>
      <c r="H671" s="3" t="str">
        <f t="shared" si="5"/>
        <v>BEAUTY</v>
      </c>
      <c r="I671" s="3" t="str">
        <f t="shared" si="6"/>
        <v>KAJAL</v>
      </c>
      <c r="J671" s="3">
        <f t="shared" si="7"/>
        <v>2</v>
      </c>
      <c r="K671" s="3">
        <f t="shared" si="8"/>
        <v>187</v>
      </c>
      <c r="L671" s="4">
        <f t="shared" si="9"/>
        <v>0.1</v>
      </c>
      <c r="M671" s="3">
        <f t="shared" si="10"/>
        <v>336.6</v>
      </c>
      <c r="N671" s="3">
        <f t="shared" si="11"/>
        <v>236</v>
      </c>
      <c r="O671" s="3">
        <f t="shared" si="12"/>
        <v>101</v>
      </c>
      <c r="P671" s="3" t="str">
        <f t="shared" si="13"/>
        <v>WALLET</v>
      </c>
      <c r="Q671" s="3" t="str">
        <f t="shared" si="14"/>
        <v>SHIPPED</v>
      </c>
    </row>
    <row r="672">
      <c r="A672" s="1" t="s">
        <v>2065</v>
      </c>
      <c r="B672" s="2">
        <f t="shared" si="1"/>
        <v>46069</v>
      </c>
      <c r="C672" s="1" t="s">
        <v>2066</v>
      </c>
      <c r="D672" s="3" t="str">
        <f t="shared" si="2"/>
        <v>SRI</v>
      </c>
      <c r="E672" s="3" t="str">
        <f t="shared" si="3"/>
        <v>TAMILNADU</v>
      </c>
      <c r="F672" s="3" t="str">
        <f t="shared" si="4"/>
        <v>THOOTHUKUDI</v>
      </c>
      <c r="G672" s="1" t="s">
        <v>2067</v>
      </c>
      <c r="H672" s="3" t="str">
        <f t="shared" si="5"/>
        <v>HOME &amp; KITCHEN</v>
      </c>
      <c r="I672" s="3" t="str">
        <f t="shared" si="6"/>
        <v>MIXER GRAINDER</v>
      </c>
      <c r="J672" s="3">
        <f t="shared" si="7"/>
        <v>3</v>
      </c>
      <c r="K672" s="3">
        <f t="shared" si="8"/>
        <v>451</v>
      </c>
      <c r="L672" s="4">
        <f t="shared" si="9"/>
        <v>0.15</v>
      </c>
      <c r="M672" s="3">
        <f t="shared" si="10"/>
        <v>1150.05</v>
      </c>
      <c r="N672" s="3">
        <f t="shared" si="11"/>
        <v>805</v>
      </c>
      <c r="O672" s="3">
        <f t="shared" si="12"/>
        <v>345</v>
      </c>
      <c r="P672" s="3" t="str">
        <f t="shared" si="13"/>
        <v>UPI</v>
      </c>
      <c r="Q672" s="3" t="str">
        <f t="shared" si="14"/>
        <v>CANCELLED</v>
      </c>
    </row>
    <row r="673">
      <c r="A673" s="1" t="s">
        <v>2068</v>
      </c>
      <c r="B673" s="2">
        <f t="shared" si="1"/>
        <v>46202</v>
      </c>
      <c r="C673" s="1" t="s">
        <v>2069</v>
      </c>
      <c r="D673" s="3" t="str">
        <f t="shared" si="2"/>
        <v>SHOBN</v>
      </c>
      <c r="E673" s="3" t="str">
        <f t="shared" si="3"/>
        <v>KERALA</v>
      </c>
      <c r="F673" s="3" t="str">
        <f t="shared" si="4"/>
        <v>KOCHI</v>
      </c>
      <c r="G673" s="1" t="s">
        <v>2070</v>
      </c>
      <c r="H673" s="3" t="str">
        <f t="shared" si="5"/>
        <v>BOOKS</v>
      </c>
      <c r="I673" s="3" t="str">
        <f t="shared" si="6"/>
        <v>LIFE OF PI</v>
      </c>
      <c r="J673" s="3">
        <f t="shared" si="7"/>
        <v>4</v>
      </c>
      <c r="K673" s="3">
        <f t="shared" si="8"/>
        <v>481</v>
      </c>
      <c r="L673" s="4">
        <f t="shared" si="9"/>
        <v>0.2</v>
      </c>
      <c r="M673" s="3">
        <f t="shared" si="10"/>
        <v>1539.2</v>
      </c>
      <c r="N673" s="3">
        <f t="shared" si="11"/>
        <v>1077</v>
      </c>
      <c r="O673" s="3">
        <f t="shared" si="12"/>
        <v>462</v>
      </c>
      <c r="P673" s="3" t="str">
        <f t="shared" si="13"/>
        <v>CARD</v>
      </c>
      <c r="Q673" s="3" t="str">
        <f t="shared" si="14"/>
        <v>RETURNED</v>
      </c>
    </row>
    <row r="674">
      <c r="A674" s="1" t="s">
        <v>2071</v>
      </c>
      <c r="B674" s="2">
        <f t="shared" si="1"/>
        <v>46191</v>
      </c>
      <c r="C674" s="1" t="s">
        <v>2072</v>
      </c>
      <c r="D674" s="3" t="str">
        <f t="shared" si="2"/>
        <v>SOBI</v>
      </c>
      <c r="E674" s="3" t="str">
        <f t="shared" si="3"/>
        <v>KARNATAKA</v>
      </c>
      <c r="F674" s="3" t="str">
        <f t="shared" si="4"/>
        <v>BANGALURU</v>
      </c>
      <c r="G674" s="1" t="s">
        <v>2073</v>
      </c>
      <c r="H674" s="3" t="str">
        <f t="shared" si="5"/>
        <v>ACCESSORIES</v>
      </c>
      <c r="I674" s="3" t="str">
        <f t="shared" si="6"/>
        <v>EARRINGS</v>
      </c>
      <c r="J674" s="3">
        <f t="shared" si="7"/>
        <v>1</v>
      </c>
      <c r="K674" s="3">
        <f t="shared" si="8"/>
        <v>532</v>
      </c>
      <c r="L674" s="4">
        <f t="shared" si="9"/>
        <v>0.5</v>
      </c>
      <c r="M674" s="3">
        <f t="shared" si="10"/>
        <v>266</v>
      </c>
      <c r="N674" s="3">
        <f t="shared" si="11"/>
        <v>186</v>
      </c>
      <c r="O674" s="3">
        <f t="shared" si="12"/>
        <v>80</v>
      </c>
      <c r="P674" s="3" t="str">
        <f t="shared" si="13"/>
        <v>COD</v>
      </c>
      <c r="Q674" s="3" t="str">
        <f t="shared" si="14"/>
        <v>DELIVERED</v>
      </c>
    </row>
    <row r="675">
      <c r="A675" s="1" t="s">
        <v>2074</v>
      </c>
      <c r="B675" s="2">
        <f t="shared" si="1"/>
        <v>46030</v>
      </c>
      <c r="C675" s="1" t="s">
        <v>2075</v>
      </c>
      <c r="D675" s="3" t="str">
        <f t="shared" si="2"/>
        <v>SUJI</v>
      </c>
      <c r="E675" s="3" t="str">
        <f t="shared" si="3"/>
        <v>ANDHRA PRADESH</v>
      </c>
      <c r="F675" s="3" t="str">
        <f t="shared" si="4"/>
        <v>TIRUPATI</v>
      </c>
      <c r="G675" s="1" t="s">
        <v>2076</v>
      </c>
      <c r="H675" s="3" t="str">
        <f t="shared" si="5"/>
        <v>ELECTRONICS</v>
      </c>
      <c r="I675" s="3" t="str">
        <f t="shared" si="6"/>
        <v>WIRELESS EARBUDS</v>
      </c>
      <c r="J675" s="3">
        <f t="shared" si="7"/>
        <v>4</v>
      </c>
      <c r="K675" s="3">
        <f t="shared" si="8"/>
        <v>210</v>
      </c>
      <c r="L675" s="4">
        <f t="shared" si="9"/>
        <v>0</v>
      </c>
      <c r="M675" s="3">
        <f t="shared" si="10"/>
        <v>840</v>
      </c>
      <c r="N675" s="3">
        <f t="shared" si="11"/>
        <v>588</v>
      </c>
      <c r="O675" s="3">
        <f t="shared" si="12"/>
        <v>252</v>
      </c>
      <c r="P675" s="3" t="str">
        <f t="shared" si="13"/>
        <v>NET BANKING</v>
      </c>
      <c r="Q675" s="3" t="str">
        <f t="shared" si="14"/>
        <v>SHIPPED</v>
      </c>
    </row>
    <row r="676">
      <c r="A676" s="1" t="s">
        <v>2077</v>
      </c>
      <c r="B676" s="2">
        <f t="shared" si="1"/>
        <v>46181</v>
      </c>
      <c r="C676" s="1" t="s">
        <v>2078</v>
      </c>
      <c r="D676" s="3" t="str">
        <f t="shared" si="2"/>
        <v>RATHA</v>
      </c>
      <c r="E676" s="3" t="str">
        <f t="shared" si="3"/>
        <v>TELUGANA</v>
      </c>
      <c r="F676" s="3" t="str">
        <f t="shared" si="4"/>
        <v>HYDERABAD</v>
      </c>
      <c r="G676" s="1" t="s">
        <v>2079</v>
      </c>
      <c r="H676" s="3" t="str">
        <f t="shared" si="5"/>
        <v>SPORTS</v>
      </c>
      <c r="I676" s="3" t="str">
        <f t="shared" si="6"/>
        <v>FOOTBALL</v>
      </c>
      <c r="J676" s="3">
        <f t="shared" si="7"/>
        <v>2</v>
      </c>
      <c r="K676" s="3">
        <f t="shared" si="8"/>
        <v>594</v>
      </c>
      <c r="L676" s="4">
        <f t="shared" si="9"/>
        <v>0.5</v>
      </c>
      <c r="M676" s="3">
        <f t="shared" si="10"/>
        <v>594</v>
      </c>
      <c r="N676" s="3">
        <f t="shared" si="11"/>
        <v>416</v>
      </c>
      <c r="O676" s="3">
        <f t="shared" si="12"/>
        <v>178</v>
      </c>
      <c r="P676" s="3" t="str">
        <f t="shared" si="13"/>
        <v>WALLET</v>
      </c>
      <c r="Q676" s="3" t="str">
        <f t="shared" si="14"/>
        <v>CANCELLED</v>
      </c>
    </row>
    <row r="677">
      <c r="A677" s="1" t="s">
        <v>2080</v>
      </c>
      <c r="B677" s="2">
        <f t="shared" si="1"/>
        <v>46252</v>
      </c>
      <c r="C677" s="1" t="s">
        <v>2081</v>
      </c>
      <c r="D677" s="3" t="str">
        <f t="shared" si="2"/>
        <v>SUSA</v>
      </c>
      <c r="E677" s="3" t="str">
        <f t="shared" si="3"/>
        <v>UTTHRA PRADESH</v>
      </c>
      <c r="F677" s="3" t="str">
        <f t="shared" si="4"/>
        <v>LUCKNOW</v>
      </c>
      <c r="G677" s="1" t="s">
        <v>2082</v>
      </c>
      <c r="H677" s="3" t="str">
        <f t="shared" si="5"/>
        <v>FOOD</v>
      </c>
      <c r="I677" s="3" t="str">
        <f t="shared" si="6"/>
        <v>BIRIYANI</v>
      </c>
      <c r="J677" s="3">
        <f t="shared" si="7"/>
        <v>1</v>
      </c>
      <c r="K677" s="3">
        <f t="shared" si="8"/>
        <v>226</v>
      </c>
      <c r="L677" s="4">
        <f t="shared" si="9"/>
        <v>0.1</v>
      </c>
      <c r="M677" s="3">
        <f t="shared" si="10"/>
        <v>203.4</v>
      </c>
      <c r="N677" s="3">
        <f t="shared" si="11"/>
        <v>142</v>
      </c>
      <c r="O677" s="3">
        <f t="shared" si="12"/>
        <v>61</v>
      </c>
      <c r="P677" s="3" t="str">
        <f t="shared" si="13"/>
        <v>UPI</v>
      </c>
      <c r="Q677" s="3" t="str">
        <f t="shared" si="14"/>
        <v>RETURNED</v>
      </c>
    </row>
    <row r="678">
      <c r="A678" s="1" t="s">
        <v>2083</v>
      </c>
      <c r="B678" s="2">
        <f t="shared" si="1"/>
        <v>46081</v>
      </c>
      <c r="C678" s="1" t="s">
        <v>2084</v>
      </c>
      <c r="D678" s="3" t="str">
        <f t="shared" si="2"/>
        <v>NIVE</v>
      </c>
      <c r="E678" s="3" t="str">
        <f t="shared" si="3"/>
        <v>GUJARAT</v>
      </c>
      <c r="F678" s="3" t="str">
        <f t="shared" si="4"/>
        <v>SURAT</v>
      </c>
      <c r="G678" s="1" t="s">
        <v>2085</v>
      </c>
      <c r="H678" s="3" t="str">
        <f t="shared" si="5"/>
        <v>DRESS</v>
      </c>
      <c r="I678" s="3" t="str">
        <f t="shared" si="6"/>
        <v>WOMEN WAERS</v>
      </c>
      <c r="J678" s="3">
        <f t="shared" si="7"/>
        <v>2</v>
      </c>
      <c r="K678" s="3">
        <f t="shared" si="8"/>
        <v>410</v>
      </c>
      <c r="L678" s="4">
        <f t="shared" si="9"/>
        <v>0.15</v>
      </c>
      <c r="M678" s="3">
        <f t="shared" si="10"/>
        <v>697</v>
      </c>
      <c r="N678" s="3">
        <f t="shared" si="11"/>
        <v>488</v>
      </c>
      <c r="O678" s="3">
        <f t="shared" si="12"/>
        <v>209</v>
      </c>
      <c r="P678" s="3" t="str">
        <f t="shared" si="13"/>
        <v>CARD</v>
      </c>
      <c r="Q678" s="3" t="str">
        <f t="shared" si="14"/>
        <v>DELIVERED</v>
      </c>
    </row>
    <row r="679">
      <c r="A679" s="1" t="s">
        <v>2086</v>
      </c>
      <c r="B679" s="2">
        <f t="shared" si="1"/>
        <v>46357</v>
      </c>
      <c r="C679" s="1" t="s">
        <v>2087</v>
      </c>
      <c r="D679" s="3" t="str">
        <f t="shared" si="2"/>
        <v>VINO</v>
      </c>
      <c r="E679" s="3" t="str">
        <f t="shared" si="3"/>
        <v>RAJASTHAN</v>
      </c>
      <c r="F679" s="3" t="str">
        <f t="shared" si="4"/>
        <v>JAIPUR</v>
      </c>
      <c r="G679" s="1" t="s">
        <v>2088</v>
      </c>
      <c r="H679" s="3" t="str">
        <f t="shared" si="5"/>
        <v>BEAUTY</v>
      </c>
      <c r="I679" s="3" t="str">
        <f t="shared" si="6"/>
        <v>KAJAL</v>
      </c>
      <c r="J679" s="3">
        <f t="shared" si="7"/>
        <v>5</v>
      </c>
      <c r="K679" s="3">
        <f t="shared" si="8"/>
        <v>489</v>
      </c>
      <c r="L679" s="4">
        <f t="shared" si="9"/>
        <v>0.1</v>
      </c>
      <c r="M679" s="3">
        <f t="shared" si="10"/>
        <v>2200.5</v>
      </c>
      <c r="N679" s="3">
        <f t="shared" si="11"/>
        <v>1540</v>
      </c>
      <c r="O679" s="3">
        <f t="shared" si="12"/>
        <v>661</v>
      </c>
      <c r="P679" s="3" t="str">
        <f t="shared" si="13"/>
        <v>COD</v>
      </c>
      <c r="Q679" s="3" t="str">
        <f t="shared" si="14"/>
        <v>SHIPPED</v>
      </c>
    </row>
    <row r="680">
      <c r="A680" s="1" t="s">
        <v>2089</v>
      </c>
      <c r="B680" s="2">
        <f t="shared" si="1"/>
        <v>46380</v>
      </c>
      <c r="C680" s="1" t="s">
        <v>2090</v>
      </c>
      <c r="D680" s="3" t="str">
        <f t="shared" si="2"/>
        <v>ABI</v>
      </c>
      <c r="E680" s="3" t="str">
        <f t="shared" si="3"/>
        <v>WEST BENGAL</v>
      </c>
      <c r="F680" s="3" t="str">
        <f t="shared" si="4"/>
        <v>KOLKATA</v>
      </c>
      <c r="G680" s="1" t="s">
        <v>2091</v>
      </c>
      <c r="H680" s="3" t="str">
        <f t="shared" si="5"/>
        <v>HOME &amp; KITCHEN</v>
      </c>
      <c r="I680" s="3" t="str">
        <f t="shared" si="6"/>
        <v>MIXER GRAINDER</v>
      </c>
      <c r="J680" s="3">
        <f t="shared" si="7"/>
        <v>4</v>
      </c>
      <c r="K680" s="3">
        <f t="shared" si="8"/>
        <v>348</v>
      </c>
      <c r="L680" s="4">
        <f t="shared" si="9"/>
        <v>0.15</v>
      </c>
      <c r="M680" s="3">
        <f t="shared" si="10"/>
        <v>1183.2</v>
      </c>
      <c r="N680" s="3">
        <f t="shared" si="11"/>
        <v>828</v>
      </c>
      <c r="O680" s="3">
        <f t="shared" si="12"/>
        <v>355</v>
      </c>
      <c r="P680" s="3" t="str">
        <f t="shared" si="13"/>
        <v>NET BANKING</v>
      </c>
      <c r="Q680" s="3" t="str">
        <f t="shared" si="14"/>
        <v>CANCELLED</v>
      </c>
    </row>
    <row r="681">
      <c r="A681" s="1" t="s">
        <v>2092</v>
      </c>
      <c r="B681" s="2">
        <f t="shared" si="1"/>
        <v>46126</v>
      </c>
      <c r="C681" s="1" t="s">
        <v>2093</v>
      </c>
      <c r="D681" s="3" t="str">
        <f t="shared" si="2"/>
        <v>NIHAAR</v>
      </c>
      <c r="E681" s="3" t="str">
        <f t="shared" si="3"/>
        <v>MAGARASTRA</v>
      </c>
      <c r="F681" s="3" t="str">
        <f t="shared" si="4"/>
        <v>PUNE</v>
      </c>
      <c r="G681" s="1" t="s">
        <v>2094</v>
      </c>
      <c r="H681" s="3" t="str">
        <f t="shared" si="5"/>
        <v>BOOKS</v>
      </c>
      <c r="I681" s="3" t="str">
        <f t="shared" si="6"/>
        <v>LIFE OF PI</v>
      </c>
      <c r="J681" s="3">
        <f t="shared" si="7"/>
        <v>4</v>
      </c>
      <c r="K681" s="3">
        <f t="shared" si="8"/>
        <v>264</v>
      </c>
      <c r="L681" s="4">
        <f t="shared" si="9"/>
        <v>0</v>
      </c>
      <c r="M681" s="3">
        <f t="shared" si="10"/>
        <v>1056</v>
      </c>
      <c r="N681" s="3">
        <f t="shared" si="11"/>
        <v>739</v>
      </c>
      <c r="O681" s="3">
        <f t="shared" si="12"/>
        <v>317</v>
      </c>
      <c r="P681" s="3" t="str">
        <f t="shared" si="13"/>
        <v>WALLET</v>
      </c>
      <c r="Q681" s="3" t="str">
        <f t="shared" si="14"/>
        <v>RETURNED</v>
      </c>
    </row>
    <row r="682">
      <c r="A682" s="1" t="s">
        <v>2095</v>
      </c>
      <c r="B682" s="2">
        <f t="shared" si="1"/>
        <v>46139</v>
      </c>
      <c r="C682" s="1" t="s">
        <v>2096</v>
      </c>
      <c r="D682" s="3" t="str">
        <f t="shared" si="2"/>
        <v>SRI</v>
      </c>
      <c r="E682" s="3" t="str">
        <f t="shared" si="3"/>
        <v>TAMILNADU</v>
      </c>
      <c r="F682" s="3" t="str">
        <f t="shared" si="4"/>
        <v>THOOTHUKUDI</v>
      </c>
      <c r="G682" s="1" t="s">
        <v>2097</v>
      </c>
      <c r="H682" s="3" t="str">
        <f t="shared" si="5"/>
        <v>ACCESSORIES</v>
      </c>
      <c r="I682" s="3" t="str">
        <f t="shared" si="6"/>
        <v>EARRINGS</v>
      </c>
      <c r="J682" s="3">
        <f t="shared" si="7"/>
        <v>1</v>
      </c>
      <c r="K682" s="3">
        <f t="shared" si="8"/>
        <v>422</v>
      </c>
      <c r="L682" s="4">
        <f t="shared" si="9"/>
        <v>0</v>
      </c>
      <c r="M682" s="3">
        <f t="shared" si="10"/>
        <v>422</v>
      </c>
      <c r="N682" s="3">
        <f t="shared" si="11"/>
        <v>295</v>
      </c>
      <c r="O682" s="3">
        <f t="shared" si="12"/>
        <v>127</v>
      </c>
      <c r="P682" s="3" t="str">
        <f t="shared" si="13"/>
        <v>UPI</v>
      </c>
      <c r="Q682" s="3" t="str">
        <f t="shared" si="14"/>
        <v>DELIVERED</v>
      </c>
    </row>
    <row r="683">
      <c r="A683" s="1" t="s">
        <v>2098</v>
      </c>
      <c r="B683" s="2">
        <f t="shared" si="1"/>
        <v>46118</v>
      </c>
      <c r="C683" s="1" t="s">
        <v>2099</v>
      </c>
      <c r="D683" s="3" t="str">
        <f t="shared" si="2"/>
        <v>SHOBN</v>
      </c>
      <c r="E683" s="3" t="str">
        <f t="shared" si="3"/>
        <v>KERALA</v>
      </c>
      <c r="F683" s="3" t="str">
        <f t="shared" si="4"/>
        <v>KOCHI</v>
      </c>
      <c r="G683" s="1" t="s">
        <v>2100</v>
      </c>
      <c r="H683" s="3" t="str">
        <f t="shared" si="5"/>
        <v>ELECTRONICS</v>
      </c>
      <c r="I683" s="3" t="str">
        <f t="shared" si="6"/>
        <v>WIRELESS EARBUDS</v>
      </c>
      <c r="J683" s="3">
        <f t="shared" si="7"/>
        <v>3</v>
      </c>
      <c r="K683" s="3">
        <f t="shared" si="8"/>
        <v>307</v>
      </c>
      <c r="L683" s="4">
        <f t="shared" si="9"/>
        <v>0.15</v>
      </c>
      <c r="M683" s="3">
        <f t="shared" si="10"/>
        <v>782.85</v>
      </c>
      <c r="N683" s="3">
        <f t="shared" si="11"/>
        <v>548</v>
      </c>
      <c r="O683" s="3">
        <f t="shared" si="12"/>
        <v>235</v>
      </c>
      <c r="P683" s="3" t="str">
        <f t="shared" si="13"/>
        <v>CARD</v>
      </c>
      <c r="Q683" s="3" t="str">
        <f t="shared" si="14"/>
        <v>SHIPPED</v>
      </c>
    </row>
    <row r="684">
      <c r="A684" s="1" t="s">
        <v>2101</v>
      </c>
      <c r="B684" s="2">
        <f t="shared" si="1"/>
        <v>46349</v>
      </c>
      <c r="C684" s="1" t="s">
        <v>2102</v>
      </c>
      <c r="D684" s="3" t="str">
        <f t="shared" si="2"/>
        <v>SOBI</v>
      </c>
      <c r="E684" s="3" t="str">
        <f t="shared" si="3"/>
        <v>KARNATAKA</v>
      </c>
      <c r="F684" s="3" t="str">
        <f t="shared" si="4"/>
        <v>BANGALURU</v>
      </c>
      <c r="G684" s="1" t="s">
        <v>2103</v>
      </c>
      <c r="H684" s="3" t="str">
        <f t="shared" si="5"/>
        <v>SPORTS</v>
      </c>
      <c r="I684" s="3" t="str">
        <f t="shared" si="6"/>
        <v>FOOTBALL</v>
      </c>
      <c r="J684" s="3">
        <f t="shared" si="7"/>
        <v>5</v>
      </c>
      <c r="K684" s="3">
        <f t="shared" si="8"/>
        <v>578</v>
      </c>
      <c r="L684" s="4">
        <f t="shared" si="9"/>
        <v>0.5</v>
      </c>
      <c r="M684" s="3">
        <f t="shared" si="10"/>
        <v>1445</v>
      </c>
      <c r="N684" s="3">
        <f t="shared" si="11"/>
        <v>1012</v>
      </c>
      <c r="O684" s="3">
        <f t="shared" si="12"/>
        <v>433</v>
      </c>
      <c r="P684" s="3" t="str">
        <f t="shared" si="13"/>
        <v>COD</v>
      </c>
      <c r="Q684" s="3" t="str">
        <f t="shared" si="14"/>
        <v>CANCELLED</v>
      </c>
    </row>
    <row r="685">
      <c r="A685" s="1" t="s">
        <v>2104</v>
      </c>
      <c r="B685" s="2">
        <f t="shared" si="1"/>
        <v>46212</v>
      </c>
      <c r="C685" s="1" t="s">
        <v>2105</v>
      </c>
      <c r="D685" s="3" t="str">
        <f t="shared" si="2"/>
        <v>SUJI</v>
      </c>
      <c r="E685" s="3" t="str">
        <f t="shared" si="3"/>
        <v>ANDHRA PRADESH</v>
      </c>
      <c r="F685" s="3" t="str">
        <f t="shared" si="4"/>
        <v>TIRUPATI</v>
      </c>
      <c r="G685" s="1" t="s">
        <v>2106</v>
      </c>
      <c r="H685" s="3" t="str">
        <f t="shared" si="5"/>
        <v>FOOD</v>
      </c>
      <c r="I685" s="3" t="str">
        <f t="shared" si="6"/>
        <v>BIRIYANI</v>
      </c>
      <c r="J685" s="3">
        <f t="shared" si="7"/>
        <v>1</v>
      </c>
      <c r="K685" s="3">
        <f t="shared" si="8"/>
        <v>436</v>
      </c>
      <c r="L685" s="4">
        <f t="shared" si="9"/>
        <v>0</v>
      </c>
      <c r="M685" s="3">
        <f t="shared" si="10"/>
        <v>436</v>
      </c>
      <c r="N685" s="3">
        <f t="shared" si="11"/>
        <v>305</v>
      </c>
      <c r="O685" s="3">
        <f t="shared" si="12"/>
        <v>131</v>
      </c>
      <c r="P685" s="3" t="str">
        <f t="shared" si="13"/>
        <v>NET BANKING</v>
      </c>
      <c r="Q685" s="3" t="str">
        <f t="shared" si="14"/>
        <v>RETURNED</v>
      </c>
    </row>
    <row r="686">
      <c r="A686" s="1" t="s">
        <v>2107</v>
      </c>
      <c r="B686" s="2">
        <f t="shared" si="1"/>
        <v>46351</v>
      </c>
      <c r="C686" s="1" t="s">
        <v>2108</v>
      </c>
      <c r="D686" s="3" t="str">
        <f t="shared" si="2"/>
        <v>RATHA</v>
      </c>
      <c r="E686" s="3" t="str">
        <f t="shared" si="3"/>
        <v>TELUGANA</v>
      </c>
      <c r="F686" s="3" t="str">
        <f t="shared" si="4"/>
        <v>HYDERABAD</v>
      </c>
      <c r="G686" s="1" t="s">
        <v>2109</v>
      </c>
      <c r="H686" s="3" t="str">
        <f t="shared" si="5"/>
        <v>DRESS</v>
      </c>
      <c r="I686" s="3" t="str">
        <f t="shared" si="6"/>
        <v>WOMEN WAERS</v>
      </c>
      <c r="J686" s="3">
        <f t="shared" si="7"/>
        <v>1</v>
      </c>
      <c r="K686" s="3">
        <f t="shared" si="8"/>
        <v>565</v>
      </c>
      <c r="L686" s="4">
        <f t="shared" si="9"/>
        <v>0.5</v>
      </c>
      <c r="M686" s="3">
        <f t="shared" si="10"/>
        <v>282.5</v>
      </c>
      <c r="N686" s="3">
        <f t="shared" si="11"/>
        <v>198</v>
      </c>
      <c r="O686" s="3">
        <f t="shared" si="12"/>
        <v>85</v>
      </c>
      <c r="P686" s="3" t="str">
        <f t="shared" si="13"/>
        <v>WALLET</v>
      </c>
      <c r="Q686" s="3" t="str">
        <f t="shared" si="14"/>
        <v>DELIVERED</v>
      </c>
    </row>
    <row r="687">
      <c r="A687" s="1" t="s">
        <v>2110</v>
      </c>
      <c r="B687" s="2">
        <f t="shared" si="1"/>
        <v>46056</v>
      </c>
      <c r="C687" s="1" t="s">
        <v>2111</v>
      </c>
      <c r="D687" s="3" t="str">
        <f t="shared" si="2"/>
        <v>SUSA</v>
      </c>
      <c r="E687" s="3" t="str">
        <f t="shared" si="3"/>
        <v>UTTHRA PRADESH</v>
      </c>
      <c r="F687" s="3" t="str">
        <f t="shared" si="4"/>
        <v>LUCKNOW</v>
      </c>
      <c r="G687" s="1" t="s">
        <v>2112</v>
      </c>
      <c r="H687" s="3" t="str">
        <f t="shared" si="5"/>
        <v>BEAUTY</v>
      </c>
      <c r="I687" s="3" t="str">
        <f t="shared" si="6"/>
        <v>KAJAL</v>
      </c>
      <c r="J687" s="3">
        <f t="shared" si="7"/>
        <v>1</v>
      </c>
      <c r="K687" s="3">
        <f t="shared" si="8"/>
        <v>184</v>
      </c>
      <c r="L687" s="4">
        <f t="shared" si="9"/>
        <v>0</v>
      </c>
      <c r="M687" s="3">
        <f t="shared" si="10"/>
        <v>184</v>
      </c>
      <c r="N687" s="3">
        <f t="shared" si="11"/>
        <v>129</v>
      </c>
      <c r="O687" s="3">
        <f t="shared" si="12"/>
        <v>55</v>
      </c>
      <c r="P687" s="3" t="str">
        <f t="shared" si="13"/>
        <v>UPI</v>
      </c>
      <c r="Q687" s="3" t="str">
        <f t="shared" si="14"/>
        <v>SHIPPED</v>
      </c>
    </row>
    <row r="688">
      <c r="A688" s="1" t="s">
        <v>2113</v>
      </c>
      <c r="B688" s="2">
        <f t="shared" si="1"/>
        <v>46273</v>
      </c>
      <c r="C688" s="1" t="s">
        <v>2114</v>
      </c>
      <c r="D688" s="3" t="str">
        <f t="shared" si="2"/>
        <v>NIVE</v>
      </c>
      <c r="E688" s="3" t="str">
        <f t="shared" si="3"/>
        <v>GUJARAT</v>
      </c>
      <c r="F688" s="3" t="str">
        <f t="shared" si="4"/>
        <v>SURAT</v>
      </c>
      <c r="G688" s="1" t="s">
        <v>2115</v>
      </c>
      <c r="H688" s="3" t="str">
        <f t="shared" si="5"/>
        <v>HOME &amp; KITCHEN</v>
      </c>
      <c r="I688" s="3" t="str">
        <f t="shared" si="6"/>
        <v>MIXER GRAINDER</v>
      </c>
      <c r="J688" s="3">
        <f t="shared" si="7"/>
        <v>5</v>
      </c>
      <c r="K688" s="3">
        <f t="shared" si="8"/>
        <v>292</v>
      </c>
      <c r="L688" s="4">
        <f t="shared" si="9"/>
        <v>0.5</v>
      </c>
      <c r="M688" s="3">
        <f t="shared" si="10"/>
        <v>730</v>
      </c>
      <c r="N688" s="3">
        <f t="shared" si="11"/>
        <v>511</v>
      </c>
      <c r="O688" s="3">
        <f t="shared" si="12"/>
        <v>219</v>
      </c>
      <c r="P688" s="3" t="str">
        <f t="shared" si="13"/>
        <v>CARD</v>
      </c>
      <c r="Q688" s="3" t="str">
        <f t="shared" si="14"/>
        <v>CANCELLED</v>
      </c>
    </row>
    <row r="689">
      <c r="A689" s="1" t="s">
        <v>2116</v>
      </c>
      <c r="B689" s="2">
        <f t="shared" si="1"/>
        <v>46120</v>
      </c>
      <c r="C689" s="1" t="s">
        <v>2117</v>
      </c>
      <c r="D689" s="3" t="str">
        <f t="shared" si="2"/>
        <v>VINO</v>
      </c>
      <c r="E689" s="3" t="str">
        <f t="shared" si="3"/>
        <v>RAJASTHAN</v>
      </c>
      <c r="F689" s="3" t="str">
        <f t="shared" si="4"/>
        <v>JAIPUR</v>
      </c>
      <c r="G689" s="1" t="s">
        <v>2118</v>
      </c>
      <c r="H689" s="3" t="str">
        <f t="shared" si="5"/>
        <v>BOOKS</v>
      </c>
      <c r="I689" s="3" t="str">
        <f t="shared" si="6"/>
        <v>LIFE OF PI</v>
      </c>
      <c r="J689" s="3">
        <f t="shared" si="7"/>
        <v>1</v>
      </c>
      <c r="K689" s="3">
        <f t="shared" si="8"/>
        <v>131</v>
      </c>
      <c r="L689" s="4">
        <f t="shared" si="9"/>
        <v>0.2</v>
      </c>
      <c r="M689" s="3">
        <f t="shared" si="10"/>
        <v>104.8</v>
      </c>
      <c r="N689" s="3">
        <f t="shared" si="11"/>
        <v>73</v>
      </c>
      <c r="O689" s="3">
        <f t="shared" si="12"/>
        <v>32</v>
      </c>
      <c r="P689" s="3" t="str">
        <f t="shared" si="13"/>
        <v>COD</v>
      </c>
      <c r="Q689" s="3" t="str">
        <f t="shared" si="14"/>
        <v>RETURNED</v>
      </c>
    </row>
    <row r="690">
      <c r="A690" s="1" t="s">
        <v>2119</v>
      </c>
      <c r="B690" s="2">
        <f t="shared" si="1"/>
        <v>46117</v>
      </c>
      <c r="C690" s="1" t="s">
        <v>2120</v>
      </c>
      <c r="D690" s="3" t="str">
        <f t="shared" si="2"/>
        <v>ABI</v>
      </c>
      <c r="E690" s="3" t="str">
        <f t="shared" si="3"/>
        <v>WEST BENGAL</v>
      </c>
      <c r="F690" s="3" t="str">
        <f t="shared" si="4"/>
        <v>KOLKATA</v>
      </c>
      <c r="G690" s="1" t="s">
        <v>2121</v>
      </c>
      <c r="H690" s="3" t="str">
        <f t="shared" si="5"/>
        <v>ACCESSORIES</v>
      </c>
      <c r="I690" s="3" t="str">
        <f t="shared" si="6"/>
        <v>EARRINGS</v>
      </c>
      <c r="J690" s="3">
        <f t="shared" si="7"/>
        <v>1</v>
      </c>
      <c r="K690" s="3">
        <f t="shared" si="8"/>
        <v>120</v>
      </c>
      <c r="L690" s="4">
        <f t="shared" si="9"/>
        <v>0</v>
      </c>
      <c r="M690" s="3">
        <f t="shared" si="10"/>
        <v>120</v>
      </c>
      <c r="N690" s="3">
        <f t="shared" si="11"/>
        <v>84</v>
      </c>
      <c r="O690" s="3">
        <f t="shared" si="12"/>
        <v>36</v>
      </c>
      <c r="P690" s="3" t="str">
        <f t="shared" si="13"/>
        <v>NET BANKING</v>
      </c>
      <c r="Q690" s="3" t="str">
        <f t="shared" si="14"/>
        <v>DELIVERED</v>
      </c>
    </row>
    <row r="691">
      <c r="A691" s="1" t="s">
        <v>2122</v>
      </c>
      <c r="B691" s="2">
        <f t="shared" si="1"/>
        <v>46352</v>
      </c>
      <c r="C691" s="1" t="s">
        <v>2123</v>
      </c>
      <c r="D691" s="3" t="str">
        <f t="shared" si="2"/>
        <v>NIHAAR</v>
      </c>
      <c r="E691" s="3" t="str">
        <f t="shared" si="3"/>
        <v>MAGARASTRA</v>
      </c>
      <c r="F691" s="3" t="str">
        <f t="shared" si="4"/>
        <v>PUNE</v>
      </c>
      <c r="G691" s="1" t="s">
        <v>2124</v>
      </c>
      <c r="H691" s="3" t="str">
        <f t="shared" si="5"/>
        <v>ELECTRONICS</v>
      </c>
      <c r="I691" s="3" t="str">
        <f t="shared" si="6"/>
        <v>WIRELESS EARBUDS</v>
      </c>
      <c r="J691" s="3">
        <f t="shared" si="7"/>
        <v>2</v>
      </c>
      <c r="K691" s="3">
        <f t="shared" si="8"/>
        <v>569</v>
      </c>
      <c r="L691" s="4">
        <f t="shared" si="9"/>
        <v>0.1</v>
      </c>
      <c r="M691" s="3">
        <f t="shared" si="10"/>
        <v>1024.2</v>
      </c>
      <c r="N691" s="3">
        <f t="shared" si="11"/>
        <v>717</v>
      </c>
      <c r="O691" s="3">
        <f t="shared" si="12"/>
        <v>307</v>
      </c>
      <c r="P691" s="3" t="str">
        <f t="shared" si="13"/>
        <v>WALLET</v>
      </c>
      <c r="Q691" s="3" t="str">
        <f t="shared" si="14"/>
        <v>SHIPPED</v>
      </c>
    </row>
    <row r="692">
      <c r="A692" s="1" t="s">
        <v>2125</v>
      </c>
      <c r="B692" s="2">
        <f t="shared" si="1"/>
        <v>46030</v>
      </c>
      <c r="C692" s="1" t="s">
        <v>2126</v>
      </c>
      <c r="D692" s="3" t="str">
        <f t="shared" si="2"/>
        <v>SRI</v>
      </c>
      <c r="E692" s="3" t="str">
        <f t="shared" si="3"/>
        <v>TAMILNADU</v>
      </c>
      <c r="F692" s="3" t="str">
        <f t="shared" si="4"/>
        <v>THOOTHUKUDI</v>
      </c>
      <c r="G692" s="1" t="s">
        <v>2127</v>
      </c>
      <c r="H692" s="3" t="str">
        <f t="shared" si="5"/>
        <v>SPORTS</v>
      </c>
      <c r="I692" s="3" t="str">
        <f t="shared" si="6"/>
        <v>FOOTBALL</v>
      </c>
      <c r="J692" s="3">
        <f t="shared" si="7"/>
        <v>2</v>
      </c>
      <c r="K692" s="3">
        <f t="shared" si="8"/>
        <v>130</v>
      </c>
      <c r="L692" s="4">
        <f t="shared" si="9"/>
        <v>0.5</v>
      </c>
      <c r="M692" s="3">
        <f t="shared" si="10"/>
        <v>130</v>
      </c>
      <c r="N692" s="3">
        <f t="shared" si="11"/>
        <v>91</v>
      </c>
      <c r="O692" s="3">
        <f t="shared" si="12"/>
        <v>39</v>
      </c>
      <c r="P692" s="3" t="str">
        <f t="shared" si="13"/>
        <v>UPI</v>
      </c>
      <c r="Q692" s="3" t="str">
        <f t="shared" si="14"/>
        <v>CANCELLED</v>
      </c>
    </row>
    <row r="693">
      <c r="A693" s="1" t="s">
        <v>2128</v>
      </c>
      <c r="B693" s="2">
        <f t="shared" si="1"/>
        <v>46351</v>
      </c>
      <c r="C693" s="1" t="s">
        <v>2129</v>
      </c>
      <c r="D693" s="3" t="str">
        <f t="shared" si="2"/>
        <v>SHOBN</v>
      </c>
      <c r="E693" s="3" t="str">
        <f t="shared" si="3"/>
        <v>KERALA</v>
      </c>
      <c r="F693" s="3" t="str">
        <f t="shared" si="4"/>
        <v>KOCHI</v>
      </c>
      <c r="G693" s="1" t="s">
        <v>2130</v>
      </c>
      <c r="H693" s="3" t="str">
        <f t="shared" si="5"/>
        <v>FOOD</v>
      </c>
      <c r="I693" s="3" t="str">
        <f t="shared" si="6"/>
        <v>BIRIYANI</v>
      </c>
      <c r="J693" s="3">
        <f t="shared" si="7"/>
        <v>4</v>
      </c>
      <c r="K693" s="3">
        <f t="shared" si="8"/>
        <v>562</v>
      </c>
      <c r="L693" s="4">
        <f t="shared" si="9"/>
        <v>0.2</v>
      </c>
      <c r="M693" s="3">
        <f t="shared" si="10"/>
        <v>1798.4</v>
      </c>
      <c r="N693" s="3">
        <f t="shared" si="11"/>
        <v>1259</v>
      </c>
      <c r="O693" s="3">
        <f t="shared" si="12"/>
        <v>539</v>
      </c>
      <c r="P693" s="3" t="str">
        <f t="shared" si="13"/>
        <v>CARD</v>
      </c>
      <c r="Q693" s="3" t="str">
        <f t="shared" si="14"/>
        <v>RETURNED</v>
      </c>
    </row>
    <row r="694">
      <c r="A694" s="1" t="s">
        <v>2131</v>
      </c>
      <c r="B694" s="2">
        <f t="shared" si="1"/>
        <v>46146</v>
      </c>
      <c r="C694" s="1" t="s">
        <v>2132</v>
      </c>
      <c r="D694" s="3" t="str">
        <f t="shared" si="2"/>
        <v>SOBI</v>
      </c>
      <c r="E694" s="3" t="str">
        <f t="shared" si="3"/>
        <v>KARNATAKA</v>
      </c>
      <c r="F694" s="3" t="str">
        <f t="shared" si="4"/>
        <v>BANGALURU</v>
      </c>
      <c r="G694" s="1" t="s">
        <v>2133</v>
      </c>
      <c r="H694" s="3" t="str">
        <f t="shared" si="5"/>
        <v>DRESS</v>
      </c>
      <c r="I694" s="3" t="str">
        <f t="shared" si="6"/>
        <v>WOMEN WAERS</v>
      </c>
      <c r="J694" s="3">
        <f t="shared" si="7"/>
        <v>3</v>
      </c>
      <c r="K694" s="3">
        <f t="shared" si="8"/>
        <v>220</v>
      </c>
      <c r="L694" s="4">
        <f t="shared" si="9"/>
        <v>0.17</v>
      </c>
      <c r="M694" s="3">
        <f t="shared" si="10"/>
        <v>547.8</v>
      </c>
      <c r="N694" s="3">
        <f t="shared" si="11"/>
        <v>383</v>
      </c>
      <c r="O694" s="3">
        <f t="shared" si="12"/>
        <v>165</v>
      </c>
      <c r="P694" s="3" t="str">
        <f t="shared" si="13"/>
        <v>COD</v>
      </c>
      <c r="Q694" s="3" t="str">
        <f t="shared" si="14"/>
        <v>DELIVERED</v>
      </c>
    </row>
    <row r="695">
      <c r="A695" s="1" t="s">
        <v>2134</v>
      </c>
      <c r="B695" s="2">
        <f t="shared" si="1"/>
        <v>46232</v>
      </c>
      <c r="C695" s="1" t="s">
        <v>2135</v>
      </c>
      <c r="D695" s="3" t="str">
        <f t="shared" si="2"/>
        <v>SUJI</v>
      </c>
      <c r="E695" s="3" t="str">
        <f t="shared" si="3"/>
        <v>ANDHRA PRADESH</v>
      </c>
      <c r="F695" s="3" t="str">
        <f t="shared" si="4"/>
        <v>TIRUPATI</v>
      </c>
      <c r="G695" s="1" t="s">
        <v>2136</v>
      </c>
      <c r="H695" s="3" t="str">
        <f t="shared" si="5"/>
        <v>BEAUTY</v>
      </c>
      <c r="I695" s="3" t="str">
        <f t="shared" si="6"/>
        <v>KAJAL</v>
      </c>
      <c r="J695" s="3">
        <f t="shared" si="7"/>
        <v>3</v>
      </c>
      <c r="K695" s="3">
        <f t="shared" si="8"/>
        <v>289</v>
      </c>
      <c r="L695" s="4">
        <f t="shared" si="9"/>
        <v>0.17</v>
      </c>
      <c r="M695" s="3">
        <f t="shared" si="10"/>
        <v>719.61</v>
      </c>
      <c r="N695" s="3">
        <f t="shared" si="11"/>
        <v>504</v>
      </c>
      <c r="O695" s="3">
        <f t="shared" si="12"/>
        <v>216</v>
      </c>
      <c r="P695" s="3" t="str">
        <f t="shared" si="13"/>
        <v>NET BANKING</v>
      </c>
      <c r="Q695" s="3" t="str">
        <f t="shared" si="14"/>
        <v>SHIPPED</v>
      </c>
    </row>
    <row r="696">
      <c r="A696" s="1" t="s">
        <v>2137</v>
      </c>
      <c r="B696" s="2">
        <f t="shared" si="1"/>
        <v>46218</v>
      </c>
      <c r="C696" s="1" t="s">
        <v>2138</v>
      </c>
      <c r="D696" s="3" t="str">
        <f t="shared" si="2"/>
        <v>RATHA</v>
      </c>
      <c r="E696" s="3" t="str">
        <f t="shared" si="3"/>
        <v>TELUGANA</v>
      </c>
      <c r="F696" s="3" t="str">
        <f t="shared" si="4"/>
        <v>HYDERABAD</v>
      </c>
      <c r="G696" s="1" t="s">
        <v>2139</v>
      </c>
      <c r="H696" s="3" t="str">
        <f t="shared" si="5"/>
        <v>HOME &amp; KITCHEN</v>
      </c>
      <c r="I696" s="3" t="str">
        <f t="shared" si="6"/>
        <v>MIXER GRAINDER</v>
      </c>
      <c r="J696" s="3">
        <f t="shared" si="7"/>
        <v>3</v>
      </c>
      <c r="K696" s="3">
        <f t="shared" si="8"/>
        <v>112</v>
      </c>
      <c r="L696" s="4">
        <f t="shared" si="9"/>
        <v>0.17</v>
      </c>
      <c r="M696" s="3">
        <f t="shared" si="10"/>
        <v>278.88</v>
      </c>
      <c r="N696" s="3">
        <f t="shared" si="11"/>
        <v>195</v>
      </c>
      <c r="O696" s="3">
        <f t="shared" si="12"/>
        <v>84</v>
      </c>
      <c r="P696" s="3" t="str">
        <f t="shared" si="13"/>
        <v>WALLET</v>
      </c>
      <c r="Q696" s="3" t="str">
        <f t="shared" si="14"/>
        <v>CANCELLED</v>
      </c>
    </row>
    <row r="697">
      <c r="A697" s="1" t="s">
        <v>2140</v>
      </c>
      <c r="B697" s="2">
        <f t="shared" si="1"/>
        <v>46062</v>
      </c>
      <c r="C697" s="1" t="s">
        <v>2141</v>
      </c>
      <c r="D697" s="3" t="str">
        <f t="shared" si="2"/>
        <v>SUSA</v>
      </c>
      <c r="E697" s="3" t="str">
        <f t="shared" si="3"/>
        <v>UTTHRA PRADESH</v>
      </c>
      <c r="F697" s="3" t="str">
        <f t="shared" si="4"/>
        <v>LUCKNOW</v>
      </c>
      <c r="G697" s="1" t="s">
        <v>2142</v>
      </c>
      <c r="H697" s="3" t="str">
        <f t="shared" si="5"/>
        <v>BOOKS</v>
      </c>
      <c r="I697" s="3" t="str">
        <f t="shared" si="6"/>
        <v>LIFE OF PI</v>
      </c>
      <c r="J697" s="3">
        <f t="shared" si="7"/>
        <v>5</v>
      </c>
      <c r="K697" s="3">
        <f t="shared" si="8"/>
        <v>206</v>
      </c>
      <c r="L697" s="4">
        <f t="shared" si="9"/>
        <v>0.17</v>
      </c>
      <c r="M697" s="3">
        <f t="shared" si="10"/>
        <v>854.9</v>
      </c>
      <c r="N697" s="3">
        <f t="shared" si="11"/>
        <v>598</v>
      </c>
      <c r="O697" s="3">
        <f t="shared" si="12"/>
        <v>257</v>
      </c>
      <c r="P697" s="3" t="str">
        <f t="shared" si="13"/>
        <v>UPI</v>
      </c>
      <c r="Q697" s="3" t="str">
        <f t="shared" si="14"/>
        <v>RETURNED</v>
      </c>
    </row>
    <row r="698">
      <c r="A698" s="1" t="s">
        <v>2143</v>
      </c>
      <c r="B698" s="2">
        <f t="shared" si="1"/>
        <v>46138</v>
      </c>
      <c r="C698" s="1" t="s">
        <v>2144</v>
      </c>
      <c r="D698" s="3" t="str">
        <f t="shared" si="2"/>
        <v>NIVE</v>
      </c>
      <c r="E698" s="3" t="str">
        <f t="shared" si="3"/>
        <v>GUJARAT</v>
      </c>
      <c r="F698" s="3" t="str">
        <f t="shared" si="4"/>
        <v>SURAT</v>
      </c>
      <c r="G698" s="1" t="s">
        <v>2145</v>
      </c>
      <c r="H698" s="3" t="str">
        <f t="shared" si="5"/>
        <v>ACCESSORIES</v>
      </c>
      <c r="I698" s="3" t="str">
        <f t="shared" si="6"/>
        <v>EARRINGS</v>
      </c>
      <c r="J698" s="3">
        <f t="shared" si="7"/>
        <v>5</v>
      </c>
      <c r="K698" s="3">
        <f t="shared" si="8"/>
        <v>507</v>
      </c>
      <c r="L698" s="4">
        <f t="shared" si="9"/>
        <v>0.17</v>
      </c>
      <c r="M698" s="3">
        <f t="shared" si="10"/>
        <v>2104.05</v>
      </c>
      <c r="N698" s="3">
        <f t="shared" si="11"/>
        <v>1473</v>
      </c>
      <c r="O698" s="3">
        <f t="shared" si="12"/>
        <v>631</v>
      </c>
      <c r="P698" s="3" t="str">
        <f t="shared" si="13"/>
        <v>CARD</v>
      </c>
      <c r="Q698" s="3" t="str">
        <f t="shared" si="14"/>
        <v>DELIVERED</v>
      </c>
    </row>
    <row r="699">
      <c r="A699" s="1" t="s">
        <v>2146</v>
      </c>
      <c r="B699" s="2">
        <f t="shared" si="1"/>
        <v>46084</v>
      </c>
      <c r="C699" s="1" t="s">
        <v>2147</v>
      </c>
      <c r="D699" s="3" t="str">
        <f t="shared" si="2"/>
        <v>VINO</v>
      </c>
      <c r="E699" s="3" t="str">
        <f t="shared" si="3"/>
        <v>RAJASTHAN</v>
      </c>
      <c r="F699" s="3" t="str">
        <f t="shared" si="4"/>
        <v>JAIPUR</v>
      </c>
      <c r="G699" s="1" t="s">
        <v>2148</v>
      </c>
      <c r="H699" s="3" t="str">
        <f t="shared" si="5"/>
        <v>ELECTRONICS</v>
      </c>
      <c r="I699" s="3" t="str">
        <f t="shared" si="6"/>
        <v>WIRELESS EARBUDS</v>
      </c>
      <c r="J699" s="3">
        <f t="shared" si="7"/>
        <v>5</v>
      </c>
      <c r="K699" s="3">
        <f t="shared" si="8"/>
        <v>187</v>
      </c>
      <c r="L699" s="4">
        <f t="shared" si="9"/>
        <v>0.17</v>
      </c>
      <c r="M699" s="3">
        <f t="shared" si="10"/>
        <v>776.05</v>
      </c>
      <c r="N699" s="3">
        <f t="shared" si="11"/>
        <v>543</v>
      </c>
      <c r="O699" s="3">
        <f t="shared" si="12"/>
        <v>233</v>
      </c>
      <c r="P699" s="3" t="str">
        <f t="shared" si="13"/>
        <v>COD</v>
      </c>
      <c r="Q699" s="3" t="str">
        <f t="shared" si="14"/>
        <v>SHIPPED</v>
      </c>
    </row>
    <row r="700">
      <c r="A700" s="1" t="s">
        <v>2149</v>
      </c>
      <c r="B700" s="2">
        <f t="shared" si="1"/>
        <v>46079</v>
      </c>
      <c r="C700" s="1" t="s">
        <v>2150</v>
      </c>
      <c r="D700" s="3" t="str">
        <f t="shared" si="2"/>
        <v>ABI</v>
      </c>
      <c r="E700" s="3" t="str">
        <f t="shared" si="3"/>
        <v>WEST BENGAL</v>
      </c>
      <c r="F700" s="3" t="str">
        <f t="shared" si="4"/>
        <v>KOLKATA</v>
      </c>
      <c r="G700" s="1" t="s">
        <v>2151</v>
      </c>
      <c r="H700" s="3" t="str">
        <f t="shared" si="5"/>
        <v>SPORTS</v>
      </c>
      <c r="I700" s="3" t="str">
        <f t="shared" si="6"/>
        <v>FOOTBALL</v>
      </c>
      <c r="J700" s="3">
        <f t="shared" si="7"/>
        <v>1</v>
      </c>
      <c r="K700" s="3">
        <f t="shared" si="8"/>
        <v>586</v>
      </c>
      <c r="L700" s="4">
        <f t="shared" si="9"/>
        <v>0.5</v>
      </c>
      <c r="M700" s="3">
        <f t="shared" si="10"/>
        <v>293</v>
      </c>
      <c r="N700" s="3">
        <f t="shared" si="11"/>
        <v>205</v>
      </c>
      <c r="O700" s="3">
        <f t="shared" si="12"/>
        <v>88</v>
      </c>
      <c r="P700" s="3" t="str">
        <f t="shared" si="13"/>
        <v>NET BANKING</v>
      </c>
      <c r="Q700" s="3" t="str">
        <f t="shared" si="14"/>
        <v>CANCELLED</v>
      </c>
    </row>
    <row r="701">
      <c r="A701" s="1" t="s">
        <v>2152</v>
      </c>
      <c r="B701" s="2">
        <f t="shared" si="1"/>
        <v>46182</v>
      </c>
      <c r="C701" s="1" t="s">
        <v>2153</v>
      </c>
      <c r="D701" s="3" t="str">
        <f t="shared" si="2"/>
        <v>NIHAAR</v>
      </c>
      <c r="E701" s="3" t="str">
        <f t="shared" si="3"/>
        <v>MAGARASTRA</v>
      </c>
      <c r="F701" s="3" t="str">
        <f t="shared" si="4"/>
        <v>PUNE</v>
      </c>
      <c r="G701" s="1" t="s">
        <v>2154</v>
      </c>
      <c r="H701" s="3" t="str">
        <f t="shared" si="5"/>
        <v>FOOD</v>
      </c>
      <c r="I701" s="3" t="str">
        <f t="shared" si="6"/>
        <v>BIRIYANI</v>
      </c>
      <c r="J701" s="3">
        <f t="shared" si="7"/>
        <v>1</v>
      </c>
      <c r="K701" s="3">
        <f t="shared" si="8"/>
        <v>599</v>
      </c>
      <c r="L701" s="4">
        <f t="shared" si="9"/>
        <v>0.1</v>
      </c>
      <c r="M701" s="3">
        <f t="shared" si="10"/>
        <v>539.1</v>
      </c>
      <c r="N701" s="3">
        <f t="shared" si="11"/>
        <v>377</v>
      </c>
      <c r="O701" s="3">
        <f t="shared" si="12"/>
        <v>162</v>
      </c>
      <c r="P701" s="3" t="str">
        <f t="shared" si="13"/>
        <v>WALLET</v>
      </c>
      <c r="Q701" s="3" t="str">
        <f t="shared" si="14"/>
        <v>RETURNED</v>
      </c>
    </row>
    <row r="702">
      <c r="A702" s="1" t="s">
        <v>2155</v>
      </c>
      <c r="B702" s="2">
        <f t="shared" si="1"/>
        <v>46344</v>
      </c>
      <c r="C702" s="1" t="s">
        <v>2156</v>
      </c>
      <c r="D702" s="3" t="str">
        <f t="shared" si="2"/>
        <v>SRI</v>
      </c>
      <c r="E702" s="3" t="str">
        <f t="shared" si="3"/>
        <v>TAMILNADU</v>
      </c>
      <c r="F702" s="3" t="str">
        <f t="shared" si="4"/>
        <v>THOOTHUKUDI</v>
      </c>
      <c r="G702" s="1" t="s">
        <v>2157</v>
      </c>
      <c r="H702" s="3" t="str">
        <f t="shared" si="5"/>
        <v>DRESS</v>
      </c>
      <c r="I702" s="3" t="str">
        <f t="shared" si="6"/>
        <v>WOMEN WAERS</v>
      </c>
      <c r="J702" s="3">
        <f t="shared" si="7"/>
        <v>5</v>
      </c>
      <c r="K702" s="3">
        <f t="shared" si="8"/>
        <v>263</v>
      </c>
      <c r="L702" s="4">
        <f t="shared" si="9"/>
        <v>0.5</v>
      </c>
      <c r="M702" s="3">
        <f t="shared" si="10"/>
        <v>657.5</v>
      </c>
      <c r="N702" s="3">
        <f t="shared" si="11"/>
        <v>460</v>
      </c>
      <c r="O702" s="3">
        <f t="shared" si="12"/>
        <v>198</v>
      </c>
      <c r="P702" s="3" t="str">
        <f t="shared" si="13"/>
        <v>UPI</v>
      </c>
      <c r="Q702" s="3" t="str">
        <f t="shared" si="14"/>
        <v>DELIVERED</v>
      </c>
    </row>
    <row r="703">
      <c r="A703" s="1" t="s">
        <v>2158</v>
      </c>
      <c r="B703" s="2">
        <f t="shared" si="1"/>
        <v>46374</v>
      </c>
      <c r="C703" s="1" t="s">
        <v>2159</v>
      </c>
      <c r="D703" s="3" t="str">
        <f t="shared" si="2"/>
        <v>SHOBN</v>
      </c>
      <c r="E703" s="3" t="str">
        <f t="shared" si="3"/>
        <v>KERALA</v>
      </c>
      <c r="F703" s="3" t="str">
        <f t="shared" si="4"/>
        <v>KOCHI</v>
      </c>
      <c r="G703" s="1" t="s">
        <v>2160</v>
      </c>
      <c r="H703" s="3" t="str">
        <f t="shared" si="5"/>
        <v>BEAUTY</v>
      </c>
      <c r="I703" s="3" t="str">
        <f t="shared" si="6"/>
        <v>KAJAL</v>
      </c>
      <c r="J703" s="3">
        <f t="shared" si="7"/>
        <v>3</v>
      </c>
      <c r="K703" s="3">
        <f t="shared" si="8"/>
        <v>251</v>
      </c>
      <c r="L703" s="4">
        <f t="shared" si="9"/>
        <v>0.1</v>
      </c>
      <c r="M703" s="3">
        <f t="shared" si="10"/>
        <v>677.7</v>
      </c>
      <c r="N703" s="3">
        <f t="shared" si="11"/>
        <v>474</v>
      </c>
      <c r="O703" s="3">
        <f t="shared" si="12"/>
        <v>204</v>
      </c>
      <c r="P703" s="3" t="str">
        <f t="shared" si="13"/>
        <v>CARD</v>
      </c>
      <c r="Q703" s="3" t="str">
        <f t="shared" si="14"/>
        <v>SHIPPED</v>
      </c>
    </row>
    <row r="704">
      <c r="A704" s="1" t="s">
        <v>2161</v>
      </c>
      <c r="B704" s="2">
        <f t="shared" si="1"/>
        <v>46250</v>
      </c>
      <c r="C704" s="1" t="s">
        <v>2162</v>
      </c>
      <c r="D704" s="3" t="str">
        <f t="shared" si="2"/>
        <v>SOBI</v>
      </c>
      <c r="E704" s="3" t="str">
        <f t="shared" si="3"/>
        <v>KARNATAKA</v>
      </c>
      <c r="F704" s="3" t="str">
        <f t="shared" si="4"/>
        <v>BANGALURU</v>
      </c>
      <c r="G704" s="1" t="s">
        <v>2163</v>
      </c>
      <c r="H704" s="3" t="str">
        <f t="shared" si="5"/>
        <v>HOME &amp; KITCHEN</v>
      </c>
      <c r="I704" s="3" t="str">
        <f t="shared" si="6"/>
        <v>MIXER GRAINDER</v>
      </c>
      <c r="J704" s="3">
        <f t="shared" si="7"/>
        <v>4</v>
      </c>
      <c r="K704" s="3">
        <f t="shared" si="8"/>
        <v>479</v>
      </c>
      <c r="L704" s="4">
        <f t="shared" si="9"/>
        <v>0.15</v>
      </c>
      <c r="M704" s="3">
        <f t="shared" si="10"/>
        <v>1628.6</v>
      </c>
      <c r="N704" s="3">
        <f t="shared" si="11"/>
        <v>1140</v>
      </c>
      <c r="O704" s="3">
        <f t="shared" si="12"/>
        <v>489</v>
      </c>
      <c r="P704" s="3" t="str">
        <f t="shared" si="13"/>
        <v>COD</v>
      </c>
      <c r="Q704" s="3" t="str">
        <f t="shared" si="14"/>
        <v>CANCELLED</v>
      </c>
    </row>
    <row r="705">
      <c r="A705" s="1" t="s">
        <v>2164</v>
      </c>
      <c r="B705" s="2">
        <f t="shared" si="1"/>
        <v>46339</v>
      </c>
      <c r="C705" s="1" t="s">
        <v>2165</v>
      </c>
      <c r="D705" s="3" t="str">
        <f t="shared" si="2"/>
        <v>SUJI</v>
      </c>
      <c r="E705" s="3" t="str">
        <f t="shared" si="3"/>
        <v>ANDHRA PRADESH</v>
      </c>
      <c r="F705" s="3" t="str">
        <f t="shared" si="4"/>
        <v>TIRUPATI</v>
      </c>
      <c r="G705" s="1" t="s">
        <v>2166</v>
      </c>
      <c r="H705" s="3" t="str">
        <f t="shared" si="5"/>
        <v>BOOKS</v>
      </c>
      <c r="I705" s="3" t="str">
        <f t="shared" si="6"/>
        <v>LIFE OF PI</v>
      </c>
      <c r="J705" s="3">
        <f t="shared" si="7"/>
        <v>2</v>
      </c>
      <c r="K705" s="3">
        <f t="shared" si="8"/>
        <v>467</v>
      </c>
      <c r="L705" s="4">
        <f t="shared" si="9"/>
        <v>0.17</v>
      </c>
      <c r="M705" s="3">
        <f t="shared" si="10"/>
        <v>775.22</v>
      </c>
      <c r="N705" s="3">
        <f t="shared" si="11"/>
        <v>543</v>
      </c>
      <c r="O705" s="3">
        <f t="shared" si="12"/>
        <v>232</v>
      </c>
      <c r="P705" s="3" t="str">
        <f t="shared" si="13"/>
        <v>NET BANKING</v>
      </c>
      <c r="Q705" s="3" t="str">
        <f t="shared" si="14"/>
        <v>RETURNED</v>
      </c>
    </row>
    <row r="706">
      <c r="A706" s="1" t="s">
        <v>2167</v>
      </c>
      <c r="B706" s="2">
        <f t="shared" si="1"/>
        <v>46115</v>
      </c>
      <c r="C706" s="1" t="s">
        <v>2168</v>
      </c>
      <c r="D706" s="3" t="str">
        <f t="shared" si="2"/>
        <v>RATHA</v>
      </c>
      <c r="E706" s="3" t="str">
        <f t="shared" si="3"/>
        <v>TELUGANA</v>
      </c>
      <c r="F706" s="3" t="str">
        <f t="shared" si="4"/>
        <v>HYDERABAD</v>
      </c>
      <c r="G706" s="1" t="s">
        <v>2169</v>
      </c>
      <c r="H706" s="3" t="str">
        <f t="shared" si="5"/>
        <v>ACCESSORIES</v>
      </c>
      <c r="I706" s="3" t="str">
        <f t="shared" si="6"/>
        <v>EARRINGS</v>
      </c>
      <c r="J706" s="3">
        <f t="shared" si="7"/>
        <v>1</v>
      </c>
      <c r="K706" s="3">
        <f t="shared" si="8"/>
        <v>237</v>
      </c>
      <c r="L706" s="4">
        <f t="shared" si="9"/>
        <v>0.15</v>
      </c>
      <c r="M706" s="3">
        <f t="shared" si="10"/>
        <v>201.45</v>
      </c>
      <c r="N706" s="3">
        <f t="shared" si="11"/>
        <v>141</v>
      </c>
      <c r="O706" s="3">
        <f t="shared" si="12"/>
        <v>60</v>
      </c>
      <c r="P706" s="3" t="str">
        <f t="shared" si="13"/>
        <v>WALLET</v>
      </c>
      <c r="Q706" s="3" t="str">
        <f t="shared" si="14"/>
        <v>DELIVERED</v>
      </c>
    </row>
    <row r="707">
      <c r="A707" s="1" t="s">
        <v>2170</v>
      </c>
      <c r="B707" s="2">
        <f t="shared" si="1"/>
        <v>46271</v>
      </c>
      <c r="C707" s="1" t="s">
        <v>2171</v>
      </c>
      <c r="D707" s="3" t="str">
        <f t="shared" si="2"/>
        <v>SUSA</v>
      </c>
      <c r="E707" s="3" t="str">
        <f t="shared" si="3"/>
        <v>UTTHRA PRADESH</v>
      </c>
      <c r="F707" s="3" t="str">
        <f t="shared" si="4"/>
        <v>LUCKNOW</v>
      </c>
      <c r="G707" s="1" t="s">
        <v>2172</v>
      </c>
      <c r="H707" s="3" t="str">
        <f t="shared" si="5"/>
        <v>ELECTRONICS</v>
      </c>
      <c r="I707" s="3" t="str">
        <f t="shared" si="6"/>
        <v>WIRELESS EARBUDS</v>
      </c>
      <c r="J707" s="3">
        <f t="shared" si="7"/>
        <v>5</v>
      </c>
      <c r="K707" s="3">
        <f t="shared" si="8"/>
        <v>578</v>
      </c>
      <c r="L707" s="4">
        <f t="shared" si="9"/>
        <v>0.1</v>
      </c>
      <c r="M707" s="3">
        <f t="shared" si="10"/>
        <v>2601</v>
      </c>
      <c r="N707" s="3">
        <f t="shared" si="11"/>
        <v>1821</v>
      </c>
      <c r="O707" s="3">
        <f t="shared" si="12"/>
        <v>780</v>
      </c>
      <c r="P707" s="3" t="str">
        <f t="shared" si="13"/>
        <v>UPI</v>
      </c>
      <c r="Q707" s="3" t="str">
        <f t="shared" si="14"/>
        <v>SHIPPED</v>
      </c>
    </row>
    <row r="708">
      <c r="A708" s="1" t="s">
        <v>2173</v>
      </c>
      <c r="B708" s="2">
        <f t="shared" si="1"/>
        <v>46347</v>
      </c>
      <c r="C708" s="1" t="s">
        <v>2174</v>
      </c>
      <c r="D708" s="3" t="str">
        <f t="shared" si="2"/>
        <v>NIVE</v>
      </c>
      <c r="E708" s="3" t="str">
        <f t="shared" si="3"/>
        <v>GUJARAT</v>
      </c>
      <c r="F708" s="3" t="str">
        <f t="shared" si="4"/>
        <v>SURAT</v>
      </c>
      <c r="G708" s="1" t="s">
        <v>2175</v>
      </c>
      <c r="H708" s="3" t="str">
        <f t="shared" si="5"/>
        <v>SPORTS</v>
      </c>
      <c r="I708" s="3" t="str">
        <f t="shared" si="6"/>
        <v>FOOTBALL</v>
      </c>
      <c r="J708" s="3">
        <f t="shared" si="7"/>
        <v>2</v>
      </c>
      <c r="K708" s="3">
        <f t="shared" si="8"/>
        <v>218</v>
      </c>
      <c r="L708" s="4">
        <f t="shared" si="9"/>
        <v>0.1</v>
      </c>
      <c r="M708" s="3">
        <f t="shared" si="10"/>
        <v>392.4</v>
      </c>
      <c r="N708" s="3">
        <f t="shared" si="11"/>
        <v>275</v>
      </c>
      <c r="O708" s="3">
        <f t="shared" si="12"/>
        <v>117</v>
      </c>
      <c r="P708" s="3" t="str">
        <f t="shared" si="13"/>
        <v>CARD</v>
      </c>
      <c r="Q708" s="3" t="str">
        <f t="shared" si="14"/>
        <v>CANCELLED</v>
      </c>
    </row>
    <row r="709">
      <c r="A709" s="1" t="s">
        <v>2176</v>
      </c>
      <c r="B709" s="2">
        <f t="shared" si="1"/>
        <v>46171</v>
      </c>
      <c r="C709" s="1" t="s">
        <v>2177</v>
      </c>
      <c r="D709" s="3" t="str">
        <f t="shared" si="2"/>
        <v>VINO</v>
      </c>
      <c r="E709" s="3" t="str">
        <f t="shared" si="3"/>
        <v>RAJASTHAN</v>
      </c>
      <c r="F709" s="3" t="str">
        <f t="shared" si="4"/>
        <v>JAIPUR</v>
      </c>
      <c r="G709" s="1" t="s">
        <v>2178</v>
      </c>
      <c r="H709" s="3" t="str">
        <f t="shared" si="5"/>
        <v>FOOD</v>
      </c>
      <c r="I709" s="3" t="str">
        <f t="shared" si="6"/>
        <v>BIRIYANI</v>
      </c>
      <c r="J709" s="3">
        <f t="shared" si="7"/>
        <v>4</v>
      </c>
      <c r="K709" s="3">
        <f t="shared" si="8"/>
        <v>442</v>
      </c>
      <c r="L709" s="4">
        <f t="shared" si="9"/>
        <v>0.2</v>
      </c>
      <c r="M709" s="3">
        <f t="shared" si="10"/>
        <v>1414.4</v>
      </c>
      <c r="N709" s="3">
        <f t="shared" si="11"/>
        <v>990</v>
      </c>
      <c r="O709" s="3">
        <f t="shared" si="12"/>
        <v>424</v>
      </c>
      <c r="P709" s="3" t="str">
        <f t="shared" si="13"/>
        <v>COD</v>
      </c>
      <c r="Q709" s="3" t="str">
        <f t="shared" si="14"/>
        <v>RETURNED</v>
      </c>
    </row>
    <row r="710">
      <c r="A710" s="1" t="s">
        <v>2179</v>
      </c>
      <c r="B710" s="2">
        <f t="shared" si="1"/>
        <v>46155</v>
      </c>
      <c r="C710" s="1" t="s">
        <v>2180</v>
      </c>
      <c r="D710" s="3" t="str">
        <f t="shared" si="2"/>
        <v>ABI</v>
      </c>
      <c r="E710" s="3" t="str">
        <f t="shared" si="3"/>
        <v>WEST BENGAL</v>
      </c>
      <c r="F710" s="3" t="str">
        <f t="shared" si="4"/>
        <v>KOLKATA</v>
      </c>
      <c r="G710" s="1" t="s">
        <v>2181</v>
      </c>
      <c r="H710" s="3" t="str">
        <f t="shared" si="5"/>
        <v>DRESS</v>
      </c>
      <c r="I710" s="3" t="str">
        <f t="shared" si="6"/>
        <v>WOMEN WAERS</v>
      </c>
      <c r="J710" s="3">
        <f t="shared" si="7"/>
        <v>1</v>
      </c>
      <c r="K710" s="3">
        <f t="shared" si="8"/>
        <v>196</v>
      </c>
      <c r="L710" s="4">
        <f t="shared" si="9"/>
        <v>0.1</v>
      </c>
      <c r="M710" s="3">
        <f t="shared" si="10"/>
        <v>176.4</v>
      </c>
      <c r="N710" s="3">
        <f t="shared" si="11"/>
        <v>123</v>
      </c>
      <c r="O710" s="3">
        <f t="shared" si="12"/>
        <v>53</v>
      </c>
      <c r="P710" s="3" t="str">
        <f t="shared" si="13"/>
        <v>NET BANKING</v>
      </c>
      <c r="Q710" s="3" t="str">
        <f t="shared" si="14"/>
        <v>DELIVERED</v>
      </c>
    </row>
    <row r="711">
      <c r="A711" s="1" t="s">
        <v>2182</v>
      </c>
      <c r="B711" s="2">
        <f t="shared" si="1"/>
        <v>46060</v>
      </c>
      <c r="C711" s="1" t="s">
        <v>2183</v>
      </c>
      <c r="D711" s="3" t="str">
        <f t="shared" si="2"/>
        <v>NIHAAR</v>
      </c>
      <c r="E711" s="3" t="str">
        <f t="shared" si="3"/>
        <v>MAGARASTRA</v>
      </c>
      <c r="F711" s="3" t="str">
        <f t="shared" si="4"/>
        <v>PUNE</v>
      </c>
      <c r="G711" s="1" t="s">
        <v>2184</v>
      </c>
      <c r="H711" s="3" t="str">
        <f t="shared" si="5"/>
        <v>BEAUTY</v>
      </c>
      <c r="I711" s="3" t="str">
        <f t="shared" si="6"/>
        <v>KAJAL</v>
      </c>
      <c r="J711" s="3">
        <f t="shared" si="7"/>
        <v>5</v>
      </c>
      <c r="K711" s="3">
        <f t="shared" si="8"/>
        <v>410</v>
      </c>
      <c r="L711" s="4">
        <f t="shared" si="9"/>
        <v>0.2</v>
      </c>
      <c r="M711" s="3">
        <f t="shared" si="10"/>
        <v>1640</v>
      </c>
      <c r="N711" s="3">
        <f t="shared" si="11"/>
        <v>1148</v>
      </c>
      <c r="O711" s="3">
        <f t="shared" si="12"/>
        <v>492</v>
      </c>
      <c r="P711" s="3" t="str">
        <f t="shared" si="13"/>
        <v>WALLET</v>
      </c>
      <c r="Q711" s="3" t="str">
        <f t="shared" si="14"/>
        <v>SHIPPED</v>
      </c>
    </row>
    <row r="712">
      <c r="A712" s="1" t="s">
        <v>2185</v>
      </c>
      <c r="B712" s="2">
        <f t="shared" si="1"/>
        <v>46303</v>
      </c>
      <c r="C712" s="1" t="s">
        <v>2186</v>
      </c>
      <c r="D712" s="3" t="str">
        <f t="shared" si="2"/>
        <v>SRI</v>
      </c>
      <c r="E712" s="3" t="str">
        <f t="shared" si="3"/>
        <v>TAMILNADU</v>
      </c>
      <c r="F712" s="3" t="str">
        <f t="shared" si="4"/>
        <v>THOOTHUKUDI</v>
      </c>
      <c r="G712" s="1" t="s">
        <v>2187</v>
      </c>
      <c r="H712" s="3" t="str">
        <f t="shared" si="5"/>
        <v>HOME &amp; KITCHEN</v>
      </c>
      <c r="I712" s="3" t="str">
        <f t="shared" si="6"/>
        <v>MIXER GRAINDER</v>
      </c>
      <c r="J712" s="3">
        <f t="shared" si="7"/>
        <v>4</v>
      </c>
      <c r="K712" s="3">
        <f t="shared" si="8"/>
        <v>113</v>
      </c>
      <c r="L712" s="4">
        <f t="shared" si="9"/>
        <v>0</v>
      </c>
      <c r="M712" s="3">
        <f t="shared" si="10"/>
        <v>452</v>
      </c>
      <c r="N712" s="3">
        <f t="shared" si="11"/>
        <v>316</v>
      </c>
      <c r="O712" s="3">
        <f t="shared" si="12"/>
        <v>136</v>
      </c>
      <c r="P712" s="3" t="str">
        <f t="shared" si="13"/>
        <v>UPI</v>
      </c>
      <c r="Q712" s="3" t="str">
        <f t="shared" si="14"/>
        <v>CANCELLED</v>
      </c>
    </row>
    <row r="713">
      <c r="A713" s="1" t="s">
        <v>2188</v>
      </c>
      <c r="B713" s="2">
        <f t="shared" si="1"/>
        <v>46315</v>
      </c>
      <c r="C713" s="1" t="s">
        <v>2189</v>
      </c>
      <c r="D713" s="3" t="str">
        <f t="shared" si="2"/>
        <v>SHOBN</v>
      </c>
      <c r="E713" s="3" t="str">
        <f t="shared" si="3"/>
        <v>KERALA</v>
      </c>
      <c r="F713" s="3" t="str">
        <f t="shared" si="4"/>
        <v>KOCHI</v>
      </c>
      <c r="G713" s="1" t="s">
        <v>2190</v>
      </c>
      <c r="H713" s="3" t="str">
        <f t="shared" si="5"/>
        <v>BOOKS</v>
      </c>
      <c r="I713" s="3" t="str">
        <f t="shared" si="6"/>
        <v>LIFE OF PI</v>
      </c>
      <c r="J713" s="3">
        <f t="shared" si="7"/>
        <v>1</v>
      </c>
      <c r="K713" s="3">
        <f t="shared" si="8"/>
        <v>443</v>
      </c>
      <c r="L713" s="4">
        <f t="shared" si="9"/>
        <v>0.2</v>
      </c>
      <c r="M713" s="3">
        <f t="shared" si="10"/>
        <v>354.4</v>
      </c>
      <c r="N713" s="3">
        <f t="shared" si="11"/>
        <v>248</v>
      </c>
      <c r="O713" s="3">
        <f t="shared" si="12"/>
        <v>106</v>
      </c>
      <c r="P713" s="3" t="str">
        <f t="shared" si="13"/>
        <v>CARD</v>
      </c>
      <c r="Q713" s="3" t="str">
        <f t="shared" si="14"/>
        <v>RETURNED</v>
      </c>
    </row>
    <row r="714">
      <c r="A714" s="1" t="s">
        <v>2191</v>
      </c>
      <c r="B714" s="2">
        <f t="shared" si="1"/>
        <v>46033</v>
      </c>
      <c r="C714" s="1" t="s">
        <v>2192</v>
      </c>
      <c r="D714" s="3" t="str">
        <f t="shared" si="2"/>
        <v>SOBI</v>
      </c>
      <c r="E714" s="3" t="str">
        <f t="shared" si="3"/>
        <v>KARNATAKA</v>
      </c>
      <c r="F714" s="3" t="str">
        <f t="shared" si="4"/>
        <v>BANGALURU</v>
      </c>
      <c r="G714" s="1" t="s">
        <v>2193</v>
      </c>
      <c r="H714" s="3" t="str">
        <f t="shared" si="5"/>
        <v>ACCESSORIES</v>
      </c>
      <c r="I714" s="3" t="str">
        <f t="shared" si="6"/>
        <v>EARRINGS</v>
      </c>
      <c r="J714" s="3">
        <f t="shared" si="7"/>
        <v>2</v>
      </c>
      <c r="K714" s="3">
        <f t="shared" si="8"/>
        <v>462</v>
      </c>
      <c r="L714" s="4">
        <f t="shared" si="9"/>
        <v>0.5</v>
      </c>
      <c r="M714" s="3">
        <f t="shared" si="10"/>
        <v>462</v>
      </c>
      <c r="N714" s="3">
        <f t="shared" si="11"/>
        <v>323</v>
      </c>
      <c r="O714" s="3">
        <f t="shared" si="12"/>
        <v>139</v>
      </c>
      <c r="P714" s="3" t="str">
        <f t="shared" si="13"/>
        <v>COD</v>
      </c>
      <c r="Q714" s="3" t="str">
        <f t="shared" si="14"/>
        <v>DELIVERED</v>
      </c>
    </row>
    <row r="715">
      <c r="A715" s="1" t="s">
        <v>2194</v>
      </c>
      <c r="B715" s="2">
        <f t="shared" si="1"/>
        <v>46051</v>
      </c>
      <c r="C715" s="1" t="s">
        <v>2195</v>
      </c>
      <c r="D715" s="3" t="str">
        <f t="shared" si="2"/>
        <v>SUJI</v>
      </c>
      <c r="E715" s="3" t="str">
        <f t="shared" si="3"/>
        <v>ANDHRA PRADESH</v>
      </c>
      <c r="F715" s="3" t="str">
        <f t="shared" si="4"/>
        <v>TIRUPATI</v>
      </c>
      <c r="G715" s="1" t="s">
        <v>2196</v>
      </c>
      <c r="H715" s="3" t="str">
        <f t="shared" si="5"/>
        <v>ELECTRONICS</v>
      </c>
      <c r="I715" s="3" t="str">
        <f t="shared" si="6"/>
        <v>WIRELESS EARBUDS</v>
      </c>
      <c r="J715" s="3">
        <f t="shared" si="7"/>
        <v>1</v>
      </c>
      <c r="K715" s="3">
        <f t="shared" si="8"/>
        <v>551</v>
      </c>
      <c r="L715" s="4">
        <f t="shared" si="9"/>
        <v>0.2</v>
      </c>
      <c r="M715" s="3">
        <f t="shared" si="10"/>
        <v>440.8</v>
      </c>
      <c r="N715" s="3">
        <f t="shared" si="11"/>
        <v>309</v>
      </c>
      <c r="O715" s="3">
        <f t="shared" si="12"/>
        <v>132</v>
      </c>
      <c r="P715" s="3" t="str">
        <f t="shared" si="13"/>
        <v>NET BANKING</v>
      </c>
      <c r="Q715" s="3" t="str">
        <f t="shared" si="14"/>
        <v>SHIPPED</v>
      </c>
    </row>
    <row r="716">
      <c r="A716" s="1" t="s">
        <v>2197</v>
      </c>
      <c r="B716" s="2">
        <f t="shared" si="1"/>
        <v>46321</v>
      </c>
      <c r="C716" s="1" t="s">
        <v>2198</v>
      </c>
      <c r="D716" s="3" t="str">
        <f t="shared" si="2"/>
        <v>RATHA</v>
      </c>
      <c r="E716" s="3" t="str">
        <f t="shared" si="3"/>
        <v>TELUGANA</v>
      </c>
      <c r="F716" s="3" t="str">
        <f t="shared" si="4"/>
        <v>HYDERABAD</v>
      </c>
      <c r="G716" s="1" t="s">
        <v>2199</v>
      </c>
      <c r="H716" s="3" t="str">
        <f t="shared" si="5"/>
        <v>SPORTS</v>
      </c>
      <c r="I716" s="3" t="str">
        <f t="shared" si="6"/>
        <v>FOOTBALL</v>
      </c>
      <c r="J716" s="3">
        <f t="shared" si="7"/>
        <v>3</v>
      </c>
      <c r="K716" s="3">
        <f t="shared" si="8"/>
        <v>101</v>
      </c>
      <c r="L716" s="4">
        <f t="shared" si="9"/>
        <v>0.1</v>
      </c>
      <c r="M716" s="3">
        <f t="shared" si="10"/>
        <v>272.7</v>
      </c>
      <c r="N716" s="3">
        <f t="shared" si="11"/>
        <v>191</v>
      </c>
      <c r="O716" s="3">
        <f t="shared" si="12"/>
        <v>82</v>
      </c>
      <c r="P716" s="3" t="str">
        <f t="shared" si="13"/>
        <v>WALLET</v>
      </c>
      <c r="Q716" s="3" t="str">
        <f t="shared" si="14"/>
        <v>CANCELLED</v>
      </c>
    </row>
    <row r="717">
      <c r="A717" s="1" t="s">
        <v>2200</v>
      </c>
      <c r="B717" s="2">
        <f t="shared" si="1"/>
        <v>46382</v>
      </c>
      <c r="C717" s="1" t="s">
        <v>2201</v>
      </c>
      <c r="D717" s="3" t="str">
        <f t="shared" si="2"/>
        <v>SUSA</v>
      </c>
      <c r="E717" s="3" t="str">
        <f t="shared" si="3"/>
        <v>UTTHRA PRADESH</v>
      </c>
      <c r="F717" s="3" t="str">
        <f t="shared" si="4"/>
        <v>LUCKNOW</v>
      </c>
      <c r="G717" s="1" t="s">
        <v>2202</v>
      </c>
      <c r="H717" s="3" t="str">
        <f t="shared" si="5"/>
        <v>FOOD</v>
      </c>
      <c r="I717" s="3" t="str">
        <f t="shared" si="6"/>
        <v>BIRIYANI</v>
      </c>
      <c r="J717" s="3">
        <f t="shared" si="7"/>
        <v>3</v>
      </c>
      <c r="K717" s="3">
        <f t="shared" si="8"/>
        <v>522</v>
      </c>
      <c r="L717" s="4">
        <f t="shared" si="9"/>
        <v>0.1</v>
      </c>
      <c r="M717" s="3">
        <f t="shared" si="10"/>
        <v>1409.4</v>
      </c>
      <c r="N717" s="3">
        <f t="shared" si="11"/>
        <v>987</v>
      </c>
      <c r="O717" s="3">
        <f t="shared" si="12"/>
        <v>422</v>
      </c>
      <c r="P717" s="3" t="str">
        <f t="shared" si="13"/>
        <v>UPI</v>
      </c>
      <c r="Q717" s="3" t="str">
        <f t="shared" si="14"/>
        <v>RETURNED</v>
      </c>
    </row>
    <row r="718">
      <c r="A718" s="1" t="s">
        <v>2203</v>
      </c>
      <c r="B718" s="2">
        <f t="shared" si="1"/>
        <v>46342</v>
      </c>
      <c r="C718" s="1" t="s">
        <v>2204</v>
      </c>
      <c r="D718" s="3" t="str">
        <f t="shared" si="2"/>
        <v>NIVE</v>
      </c>
      <c r="E718" s="3" t="str">
        <f t="shared" si="3"/>
        <v>GUJARAT</v>
      </c>
      <c r="F718" s="3" t="str">
        <f t="shared" si="4"/>
        <v>SURAT</v>
      </c>
      <c r="G718" s="1" t="s">
        <v>2205</v>
      </c>
      <c r="H718" s="3" t="str">
        <f t="shared" si="5"/>
        <v>DRESS</v>
      </c>
      <c r="I718" s="3" t="str">
        <f t="shared" si="6"/>
        <v>WOMEN WAERS</v>
      </c>
      <c r="J718" s="3">
        <f t="shared" si="7"/>
        <v>3</v>
      </c>
      <c r="K718" s="3">
        <f t="shared" si="8"/>
        <v>219</v>
      </c>
      <c r="L718" s="4">
        <f t="shared" si="9"/>
        <v>0</v>
      </c>
      <c r="M718" s="3">
        <f t="shared" si="10"/>
        <v>657</v>
      </c>
      <c r="N718" s="3">
        <f t="shared" si="11"/>
        <v>460</v>
      </c>
      <c r="O718" s="3">
        <f t="shared" si="12"/>
        <v>197</v>
      </c>
      <c r="P718" s="3" t="str">
        <f t="shared" si="13"/>
        <v>CARD</v>
      </c>
      <c r="Q718" s="3" t="str">
        <f t="shared" si="14"/>
        <v>DELIVERED</v>
      </c>
    </row>
    <row r="719">
      <c r="A719" s="1" t="s">
        <v>2206</v>
      </c>
      <c r="B719" s="2">
        <f t="shared" si="1"/>
        <v>46044</v>
      </c>
      <c r="C719" s="1" t="s">
        <v>2207</v>
      </c>
      <c r="D719" s="3" t="str">
        <f t="shared" si="2"/>
        <v>VINO</v>
      </c>
      <c r="E719" s="3" t="str">
        <f t="shared" si="3"/>
        <v>RAJASTHAN</v>
      </c>
      <c r="F719" s="3" t="str">
        <f t="shared" si="4"/>
        <v>JAIPUR</v>
      </c>
      <c r="G719" s="1" t="s">
        <v>2208</v>
      </c>
      <c r="H719" s="3" t="str">
        <f t="shared" si="5"/>
        <v>BEAUTY</v>
      </c>
      <c r="I719" s="3" t="str">
        <f t="shared" si="6"/>
        <v>KAJAL</v>
      </c>
      <c r="J719" s="3">
        <f t="shared" si="7"/>
        <v>5</v>
      </c>
      <c r="K719" s="3">
        <f t="shared" si="8"/>
        <v>375</v>
      </c>
      <c r="L719" s="4">
        <f t="shared" si="9"/>
        <v>0.15</v>
      </c>
      <c r="M719" s="3">
        <f t="shared" si="10"/>
        <v>1593.75</v>
      </c>
      <c r="N719" s="3">
        <f t="shared" si="11"/>
        <v>1116</v>
      </c>
      <c r="O719" s="3">
        <f t="shared" si="12"/>
        <v>478</v>
      </c>
      <c r="P719" s="3" t="str">
        <f t="shared" si="13"/>
        <v>COD</v>
      </c>
      <c r="Q719" s="3" t="str">
        <f t="shared" si="14"/>
        <v>SHIPPED</v>
      </c>
    </row>
    <row r="720">
      <c r="A720" s="1" t="s">
        <v>2209</v>
      </c>
      <c r="B720" s="2">
        <f t="shared" si="1"/>
        <v>46275</v>
      </c>
      <c r="C720" s="1" t="s">
        <v>2210</v>
      </c>
      <c r="D720" s="3" t="str">
        <f t="shared" si="2"/>
        <v>ABI</v>
      </c>
      <c r="E720" s="3" t="str">
        <f t="shared" si="3"/>
        <v>WEST BENGAL</v>
      </c>
      <c r="F720" s="3" t="str">
        <f t="shared" si="4"/>
        <v>KOLKATA</v>
      </c>
      <c r="G720" s="1" t="s">
        <v>2211</v>
      </c>
      <c r="H720" s="3" t="str">
        <f t="shared" si="5"/>
        <v>HOME &amp; KITCHEN</v>
      </c>
      <c r="I720" s="3" t="str">
        <f t="shared" si="6"/>
        <v>MIXER GRAINDER</v>
      </c>
      <c r="J720" s="3">
        <f t="shared" si="7"/>
        <v>4</v>
      </c>
      <c r="K720" s="3">
        <f t="shared" si="8"/>
        <v>432</v>
      </c>
      <c r="L720" s="4">
        <f t="shared" si="9"/>
        <v>0.5</v>
      </c>
      <c r="M720" s="3">
        <f t="shared" si="10"/>
        <v>864</v>
      </c>
      <c r="N720" s="3">
        <f t="shared" si="11"/>
        <v>605</v>
      </c>
      <c r="O720" s="3">
        <f t="shared" si="12"/>
        <v>259</v>
      </c>
      <c r="P720" s="3" t="str">
        <f t="shared" si="13"/>
        <v>NET BANKING</v>
      </c>
      <c r="Q720" s="3" t="str">
        <f t="shared" si="14"/>
        <v>CANCELLED</v>
      </c>
    </row>
    <row r="721">
      <c r="A721" s="1" t="s">
        <v>2212</v>
      </c>
      <c r="B721" s="2">
        <f t="shared" si="1"/>
        <v>46119</v>
      </c>
      <c r="C721" s="1" t="s">
        <v>2213</v>
      </c>
      <c r="D721" s="3" t="str">
        <f t="shared" si="2"/>
        <v>NIHAAR</v>
      </c>
      <c r="E721" s="3" t="str">
        <f t="shared" si="3"/>
        <v>MAGARASTRA</v>
      </c>
      <c r="F721" s="3" t="str">
        <f t="shared" si="4"/>
        <v>PUNE</v>
      </c>
      <c r="G721" s="1" t="s">
        <v>2214</v>
      </c>
      <c r="H721" s="3" t="str">
        <f t="shared" si="5"/>
        <v>BOOKS</v>
      </c>
      <c r="I721" s="3" t="str">
        <f t="shared" si="6"/>
        <v>LIFE OF PI</v>
      </c>
      <c r="J721" s="3">
        <f t="shared" si="7"/>
        <v>4</v>
      </c>
      <c r="K721" s="3">
        <f t="shared" si="8"/>
        <v>427</v>
      </c>
      <c r="L721" s="4">
        <f t="shared" si="9"/>
        <v>0</v>
      </c>
      <c r="M721" s="3">
        <f t="shared" si="10"/>
        <v>1708</v>
      </c>
      <c r="N721" s="3">
        <f t="shared" si="11"/>
        <v>1196</v>
      </c>
      <c r="O721" s="3">
        <f t="shared" si="12"/>
        <v>512</v>
      </c>
      <c r="P721" s="3" t="str">
        <f t="shared" si="13"/>
        <v>WALLET</v>
      </c>
      <c r="Q721" s="3" t="str">
        <f t="shared" si="14"/>
        <v>RETURNED</v>
      </c>
    </row>
    <row r="722">
      <c r="A722" s="1" t="s">
        <v>2215</v>
      </c>
      <c r="B722" s="2">
        <f t="shared" si="1"/>
        <v>46286</v>
      </c>
      <c r="C722" s="1" t="s">
        <v>2216</v>
      </c>
      <c r="D722" s="3" t="str">
        <f t="shared" si="2"/>
        <v>SRI</v>
      </c>
      <c r="E722" s="3" t="str">
        <f t="shared" si="3"/>
        <v>TAMILNADU</v>
      </c>
      <c r="F722" s="3" t="str">
        <f t="shared" si="4"/>
        <v>THOOTHUKUDI</v>
      </c>
      <c r="G722" s="1" t="s">
        <v>2217</v>
      </c>
      <c r="H722" s="3" t="str">
        <f t="shared" si="5"/>
        <v>ACCESSORIES</v>
      </c>
      <c r="I722" s="3" t="str">
        <f t="shared" si="6"/>
        <v>EARRINGS</v>
      </c>
      <c r="J722" s="3">
        <f t="shared" si="7"/>
        <v>1</v>
      </c>
      <c r="K722" s="3">
        <f t="shared" si="8"/>
        <v>378</v>
      </c>
      <c r="L722" s="4">
        <f t="shared" si="9"/>
        <v>0.2</v>
      </c>
      <c r="M722" s="3">
        <f t="shared" si="10"/>
        <v>302.4</v>
      </c>
      <c r="N722" s="3">
        <f t="shared" si="11"/>
        <v>212</v>
      </c>
      <c r="O722" s="3">
        <f t="shared" si="12"/>
        <v>90</v>
      </c>
      <c r="P722" s="3" t="str">
        <f t="shared" si="13"/>
        <v>UPI</v>
      </c>
      <c r="Q722" s="3" t="str">
        <f t="shared" si="14"/>
        <v>DELIVERED</v>
      </c>
    </row>
    <row r="723">
      <c r="A723" s="1" t="s">
        <v>2218</v>
      </c>
      <c r="B723" s="2">
        <f t="shared" si="1"/>
        <v>46121</v>
      </c>
      <c r="C723" s="1" t="s">
        <v>2219</v>
      </c>
      <c r="D723" s="3" t="str">
        <f t="shared" si="2"/>
        <v>SHOBN</v>
      </c>
      <c r="E723" s="3" t="str">
        <f t="shared" si="3"/>
        <v>KERALA</v>
      </c>
      <c r="F723" s="3" t="str">
        <f t="shared" si="4"/>
        <v>KOCHI</v>
      </c>
      <c r="G723" s="1" t="s">
        <v>2220</v>
      </c>
      <c r="H723" s="3" t="str">
        <f t="shared" si="5"/>
        <v>ELECTRONICS</v>
      </c>
      <c r="I723" s="3" t="str">
        <f t="shared" si="6"/>
        <v>WIRELESS EARBUDS</v>
      </c>
      <c r="J723" s="3">
        <f t="shared" si="7"/>
        <v>4</v>
      </c>
      <c r="K723" s="3">
        <f t="shared" si="8"/>
        <v>276</v>
      </c>
      <c r="L723" s="4">
        <f t="shared" si="9"/>
        <v>0</v>
      </c>
      <c r="M723" s="3">
        <f t="shared" si="10"/>
        <v>1104</v>
      </c>
      <c r="N723" s="3">
        <f t="shared" si="11"/>
        <v>773</v>
      </c>
      <c r="O723" s="3">
        <f t="shared" si="12"/>
        <v>331</v>
      </c>
      <c r="P723" s="3" t="str">
        <f t="shared" si="13"/>
        <v>CARD</v>
      </c>
      <c r="Q723" s="3" t="str">
        <f t="shared" si="14"/>
        <v>SHIPPED</v>
      </c>
    </row>
    <row r="724">
      <c r="A724" s="1" t="s">
        <v>2221</v>
      </c>
      <c r="B724" s="2">
        <f t="shared" si="1"/>
        <v>46128</v>
      </c>
      <c r="C724" s="1" t="s">
        <v>2222</v>
      </c>
      <c r="D724" s="3" t="str">
        <f t="shared" si="2"/>
        <v>SOBI</v>
      </c>
      <c r="E724" s="3" t="str">
        <f t="shared" si="3"/>
        <v>KARNATAKA</v>
      </c>
      <c r="F724" s="3" t="str">
        <f t="shared" si="4"/>
        <v>BANGALURU</v>
      </c>
      <c r="G724" s="1" t="s">
        <v>2223</v>
      </c>
      <c r="H724" s="3" t="str">
        <f t="shared" si="5"/>
        <v>SPORTS</v>
      </c>
      <c r="I724" s="3" t="str">
        <f t="shared" si="6"/>
        <v>FOOTBALL</v>
      </c>
      <c r="J724" s="3">
        <f t="shared" si="7"/>
        <v>2</v>
      </c>
      <c r="K724" s="3">
        <f t="shared" si="8"/>
        <v>221</v>
      </c>
      <c r="L724" s="4">
        <f t="shared" si="9"/>
        <v>0.15</v>
      </c>
      <c r="M724" s="3">
        <f t="shared" si="10"/>
        <v>375.7</v>
      </c>
      <c r="N724" s="3">
        <f t="shared" si="11"/>
        <v>263</v>
      </c>
      <c r="O724" s="3">
        <f t="shared" si="12"/>
        <v>113</v>
      </c>
      <c r="P724" s="3" t="str">
        <f t="shared" si="13"/>
        <v>COD</v>
      </c>
      <c r="Q724" s="3" t="str">
        <f t="shared" si="14"/>
        <v>CANCELLED</v>
      </c>
    </row>
    <row r="725">
      <c r="A725" s="1" t="s">
        <v>2224</v>
      </c>
      <c r="B725" s="2">
        <f t="shared" si="1"/>
        <v>46262</v>
      </c>
      <c r="C725" s="1" t="s">
        <v>2225</v>
      </c>
      <c r="D725" s="3" t="str">
        <f t="shared" si="2"/>
        <v>SUJI</v>
      </c>
      <c r="E725" s="3" t="str">
        <f t="shared" si="3"/>
        <v>ANDHRA PRADESH</v>
      </c>
      <c r="F725" s="3" t="str">
        <f t="shared" si="4"/>
        <v>TIRUPATI</v>
      </c>
      <c r="G725" s="1" t="s">
        <v>2226</v>
      </c>
      <c r="H725" s="3" t="str">
        <f t="shared" si="5"/>
        <v>FOOD</v>
      </c>
      <c r="I725" s="3" t="str">
        <f t="shared" si="6"/>
        <v>BIRIYANI</v>
      </c>
      <c r="J725" s="3">
        <f t="shared" si="7"/>
        <v>2</v>
      </c>
      <c r="K725" s="3">
        <f t="shared" si="8"/>
        <v>336</v>
      </c>
      <c r="L725" s="4">
        <f t="shared" si="9"/>
        <v>0.2</v>
      </c>
      <c r="M725" s="3">
        <f t="shared" si="10"/>
        <v>537.6</v>
      </c>
      <c r="N725" s="3">
        <f t="shared" si="11"/>
        <v>376</v>
      </c>
      <c r="O725" s="3">
        <f t="shared" si="12"/>
        <v>162</v>
      </c>
      <c r="P725" s="3" t="str">
        <f t="shared" si="13"/>
        <v>NET BANKING</v>
      </c>
      <c r="Q725" s="3" t="str">
        <f t="shared" si="14"/>
        <v>RETURNED</v>
      </c>
    </row>
    <row r="726">
      <c r="A726" s="1" t="s">
        <v>2227</v>
      </c>
      <c r="B726" s="2">
        <f t="shared" si="1"/>
        <v>46234</v>
      </c>
      <c r="C726" s="1" t="s">
        <v>2228</v>
      </c>
      <c r="D726" s="3" t="str">
        <f t="shared" si="2"/>
        <v>RATHA</v>
      </c>
      <c r="E726" s="3" t="str">
        <f t="shared" si="3"/>
        <v>TELUGANA</v>
      </c>
      <c r="F726" s="3" t="str">
        <f t="shared" si="4"/>
        <v>HYDERABAD</v>
      </c>
      <c r="G726" s="1" t="s">
        <v>2229</v>
      </c>
      <c r="H726" s="3" t="str">
        <f t="shared" si="5"/>
        <v>DRESS</v>
      </c>
      <c r="I726" s="3" t="str">
        <f t="shared" si="6"/>
        <v>WOMEN WAERS</v>
      </c>
      <c r="J726" s="3">
        <f t="shared" si="7"/>
        <v>2</v>
      </c>
      <c r="K726" s="3">
        <f t="shared" si="8"/>
        <v>138</v>
      </c>
      <c r="L726" s="4">
        <f t="shared" si="9"/>
        <v>0.1</v>
      </c>
      <c r="M726" s="3">
        <f t="shared" si="10"/>
        <v>248.4</v>
      </c>
      <c r="N726" s="3">
        <f t="shared" si="11"/>
        <v>174</v>
      </c>
      <c r="O726" s="3">
        <f t="shared" si="12"/>
        <v>74</v>
      </c>
      <c r="P726" s="3" t="str">
        <f t="shared" si="13"/>
        <v>WALLET</v>
      </c>
      <c r="Q726" s="3" t="str">
        <f t="shared" si="14"/>
        <v>DELIVERED</v>
      </c>
    </row>
    <row r="727">
      <c r="A727" s="1" t="s">
        <v>2230</v>
      </c>
      <c r="B727" s="2">
        <f t="shared" si="1"/>
        <v>46324</v>
      </c>
      <c r="C727" s="1" t="s">
        <v>2231</v>
      </c>
      <c r="D727" s="3" t="str">
        <f t="shared" si="2"/>
        <v>SUSA</v>
      </c>
      <c r="E727" s="3" t="str">
        <f t="shared" si="3"/>
        <v>UTTHRA PRADESH</v>
      </c>
      <c r="F727" s="3" t="str">
        <f t="shared" si="4"/>
        <v>LUCKNOW</v>
      </c>
      <c r="G727" s="1" t="s">
        <v>2232</v>
      </c>
      <c r="H727" s="3" t="str">
        <f t="shared" si="5"/>
        <v>BEAUTY</v>
      </c>
      <c r="I727" s="3" t="str">
        <f t="shared" si="6"/>
        <v>KAJAL</v>
      </c>
      <c r="J727" s="3">
        <f t="shared" si="7"/>
        <v>3</v>
      </c>
      <c r="K727" s="3">
        <f t="shared" si="8"/>
        <v>332</v>
      </c>
      <c r="L727" s="4">
        <f t="shared" si="9"/>
        <v>0</v>
      </c>
      <c r="M727" s="3">
        <f t="shared" si="10"/>
        <v>996</v>
      </c>
      <c r="N727" s="3">
        <f t="shared" si="11"/>
        <v>697</v>
      </c>
      <c r="O727" s="3">
        <f t="shared" si="12"/>
        <v>299</v>
      </c>
      <c r="P727" s="3" t="str">
        <f t="shared" si="13"/>
        <v>UPI</v>
      </c>
      <c r="Q727" s="3" t="str">
        <f t="shared" si="14"/>
        <v>SHIPPED</v>
      </c>
    </row>
    <row r="728">
      <c r="A728" s="1" t="s">
        <v>2233</v>
      </c>
      <c r="B728" s="2">
        <f t="shared" si="1"/>
        <v>46381</v>
      </c>
      <c r="C728" s="1" t="s">
        <v>2234</v>
      </c>
      <c r="D728" s="3" t="str">
        <f t="shared" si="2"/>
        <v>NIVE</v>
      </c>
      <c r="E728" s="3" t="str">
        <f t="shared" si="3"/>
        <v>GUJARAT</v>
      </c>
      <c r="F728" s="3" t="str">
        <f t="shared" si="4"/>
        <v>SURAT</v>
      </c>
      <c r="G728" s="1" t="s">
        <v>2235</v>
      </c>
      <c r="H728" s="3" t="str">
        <f t="shared" si="5"/>
        <v>HOME &amp; KITCHEN</v>
      </c>
      <c r="I728" s="3" t="str">
        <f t="shared" si="6"/>
        <v>MIXER GRAINDER</v>
      </c>
      <c r="J728" s="3">
        <f t="shared" si="7"/>
        <v>5</v>
      </c>
      <c r="K728" s="3">
        <f t="shared" si="8"/>
        <v>334</v>
      </c>
      <c r="L728" s="4">
        <f t="shared" si="9"/>
        <v>0.1</v>
      </c>
      <c r="M728" s="3">
        <f t="shared" si="10"/>
        <v>1503</v>
      </c>
      <c r="N728" s="3">
        <f t="shared" si="11"/>
        <v>1052</v>
      </c>
      <c r="O728" s="3">
        <f t="shared" si="12"/>
        <v>451</v>
      </c>
      <c r="P728" s="3" t="str">
        <f t="shared" si="13"/>
        <v>CARD</v>
      </c>
      <c r="Q728" s="3" t="str">
        <f t="shared" si="14"/>
        <v>CANCELLED</v>
      </c>
    </row>
    <row r="729">
      <c r="A729" s="1" t="s">
        <v>2236</v>
      </c>
      <c r="B729" s="2">
        <f t="shared" si="1"/>
        <v>46139</v>
      </c>
      <c r="C729" s="1" t="s">
        <v>2237</v>
      </c>
      <c r="D729" s="3" t="str">
        <f t="shared" si="2"/>
        <v>VINO</v>
      </c>
      <c r="E729" s="3" t="str">
        <f t="shared" si="3"/>
        <v>RAJASTHAN</v>
      </c>
      <c r="F729" s="3" t="str">
        <f t="shared" si="4"/>
        <v>JAIPUR</v>
      </c>
      <c r="G729" s="1" t="s">
        <v>2238</v>
      </c>
      <c r="H729" s="3" t="str">
        <f t="shared" si="5"/>
        <v>BOOKS</v>
      </c>
      <c r="I729" s="3" t="str">
        <f t="shared" si="6"/>
        <v>LIFE OF PI</v>
      </c>
      <c r="J729" s="3">
        <f t="shared" si="7"/>
        <v>3</v>
      </c>
      <c r="K729" s="3">
        <f t="shared" si="8"/>
        <v>210</v>
      </c>
      <c r="L729" s="4">
        <f t="shared" si="9"/>
        <v>0.15</v>
      </c>
      <c r="M729" s="3">
        <f t="shared" si="10"/>
        <v>535.5</v>
      </c>
      <c r="N729" s="3">
        <f t="shared" si="11"/>
        <v>375</v>
      </c>
      <c r="O729" s="3">
        <f t="shared" si="12"/>
        <v>161</v>
      </c>
      <c r="P729" s="3" t="str">
        <f t="shared" si="13"/>
        <v>COD</v>
      </c>
      <c r="Q729" s="3" t="str">
        <f t="shared" si="14"/>
        <v>RETURNED</v>
      </c>
    </row>
    <row r="730">
      <c r="A730" s="1" t="s">
        <v>2239</v>
      </c>
      <c r="B730" s="2">
        <f t="shared" si="1"/>
        <v>46034</v>
      </c>
      <c r="C730" s="1" t="s">
        <v>2240</v>
      </c>
      <c r="D730" s="3" t="str">
        <f t="shared" si="2"/>
        <v>ABI</v>
      </c>
      <c r="E730" s="3" t="str">
        <f t="shared" si="3"/>
        <v>WEST BENGAL</v>
      </c>
      <c r="F730" s="3" t="str">
        <f t="shared" si="4"/>
        <v>KOLKATA</v>
      </c>
      <c r="G730" s="1" t="s">
        <v>2241</v>
      </c>
      <c r="H730" s="3" t="str">
        <f t="shared" si="5"/>
        <v>ACCESSORIES</v>
      </c>
      <c r="I730" s="3" t="str">
        <f t="shared" si="6"/>
        <v>EARRINGS</v>
      </c>
      <c r="J730" s="3">
        <f t="shared" si="7"/>
        <v>5</v>
      </c>
      <c r="K730" s="3">
        <f t="shared" si="8"/>
        <v>125</v>
      </c>
      <c r="L730" s="4">
        <f t="shared" si="9"/>
        <v>0.5</v>
      </c>
      <c r="M730" s="3">
        <f t="shared" si="10"/>
        <v>312.5</v>
      </c>
      <c r="N730" s="3">
        <f t="shared" si="11"/>
        <v>219</v>
      </c>
      <c r="O730" s="3">
        <f t="shared" si="12"/>
        <v>94</v>
      </c>
      <c r="P730" s="3" t="str">
        <f t="shared" si="13"/>
        <v>NET BANKING</v>
      </c>
      <c r="Q730" s="3" t="str">
        <f t="shared" si="14"/>
        <v>DELIVERED</v>
      </c>
    </row>
    <row r="731">
      <c r="A731" s="1" t="s">
        <v>2242</v>
      </c>
      <c r="B731" s="2">
        <f t="shared" si="1"/>
        <v>46041</v>
      </c>
      <c r="C731" s="1" t="s">
        <v>2243</v>
      </c>
      <c r="D731" s="3" t="str">
        <f t="shared" si="2"/>
        <v>NIHAAR</v>
      </c>
      <c r="E731" s="3" t="str">
        <f t="shared" si="3"/>
        <v>MAGARASTRA</v>
      </c>
      <c r="F731" s="3" t="str">
        <f t="shared" si="4"/>
        <v>PUNE</v>
      </c>
      <c r="G731" s="1" t="s">
        <v>2244</v>
      </c>
      <c r="H731" s="3" t="str">
        <f t="shared" si="5"/>
        <v>ELECTRONICS</v>
      </c>
      <c r="I731" s="3" t="str">
        <f t="shared" si="6"/>
        <v>WIRELESS EARBUDS</v>
      </c>
      <c r="J731" s="3">
        <f t="shared" si="7"/>
        <v>1</v>
      </c>
      <c r="K731" s="3">
        <f t="shared" si="8"/>
        <v>591</v>
      </c>
      <c r="L731" s="4">
        <f t="shared" si="9"/>
        <v>0.17</v>
      </c>
      <c r="M731" s="3">
        <f t="shared" si="10"/>
        <v>490.53</v>
      </c>
      <c r="N731" s="3">
        <f t="shared" si="11"/>
        <v>343</v>
      </c>
      <c r="O731" s="3">
        <f t="shared" si="12"/>
        <v>148</v>
      </c>
      <c r="P731" s="3" t="str">
        <f t="shared" si="13"/>
        <v>WALLET</v>
      </c>
      <c r="Q731" s="3" t="str">
        <f t="shared" si="14"/>
        <v>SHIPPED</v>
      </c>
    </row>
    <row r="732">
      <c r="A732" s="1" t="s">
        <v>2245</v>
      </c>
      <c r="B732" s="2">
        <f t="shared" si="1"/>
        <v>46290</v>
      </c>
      <c r="C732" s="1" t="s">
        <v>2246</v>
      </c>
      <c r="D732" s="3" t="str">
        <f t="shared" si="2"/>
        <v>SRI</v>
      </c>
      <c r="E732" s="3" t="str">
        <f t="shared" si="3"/>
        <v>TAMILNADU</v>
      </c>
      <c r="F732" s="3" t="str">
        <f t="shared" si="4"/>
        <v>THOOTHUKUDI</v>
      </c>
      <c r="G732" s="1" t="s">
        <v>2247</v>
      </c>
      <c r="H732" s="3" t="str">
        <f t="shared" si="5"/>
        <v>SPORTS</v>
      </c>
      <c r="I732" s="3" t="str">
        <f t="shared" si="6"/>
        <v>FOOTBALL</v>
      </c>
      <c r="J732" s="3">
        <f t="shared" si="7"/>
        <v>2</v>
      </c>
      <c r="K732" s="3">
        <f t="shared" si="8"/>
        <v>132</v>
      </c>
      <c r="L732" s="4">
        <f t="shared" si="9"/>
        <v>0.15</v>
      </c>
      <c r="M732" s="3">
        <f t="shared" si="10"/>
        <v>224.4</v>
      </c>
      <c r="N732" s="3">
        <f t="shared" si="11"/>
        <v>157</v>
      </c>
      <c r="O732" s="3">
        <f t="shared" si="12"/>
        <v>67</v>
      </c>
      <c r="P732" s="3" t="str">
        <f t="shared" si="13"/>
        <v>UPI</v>
      </c>
      <c r="Q732" s="3" t="str">
        <f t="shared" si="14"/>
        <v>CANCELLED</v>
      </c>
    </row>
    <row r="733">
      <c r="A733" s="1" t="s">
        <v>2248</v>
      </c>
      <c r="B733" s="2">
        <f t="shared" si="1"/>
        <v>46206</v>
      </c>
      <c r="C733" s="1" t="s">
        <v>2249</v>
      </c>
      <c r="D733" s="3" t="str">
        <f t="shared" si="2"/>
        <v>SHOBN</v>
      </c>
      <c r="E733" s="3" t="str">
        <f t="shared" si="3"/>
        <v>KERALA</v>
      </c>
      <c r="F733" s="3" t="str">
        <f t="shared" si="4"/>
        <v>KOCHI</v>
      </c>
      <c r="G733" s="1" t="s">
        <v>2250</v>
      </c>
      <c r="H733" s="3" t="str">
        <f t="shared" si="5"/>
        <v>FOOD</v>
      </c>
      <c r="I733" s="3" t="str">
        <f t="shared" si="6"/>
        <v>BIRIYANI</v>
      </c>
      <c r="J733" s="3">
        <f t="shared" si="7"/>
        <v>4</v>
      </c>
      <c r="K733" s="3">
        <f t="shared" si="8"/>
        <v>446</v>
      </c>
      <c r="L733" s="4">
        <f t="shared" si="9"/>
        <v>0.1</v>
      </c>
      <c r="M733" s="3">
        <f t="shared" si="10"/>
        <v>1605.6</v>
      </c>
      <c r="N733" s="3">
        <f t="shared" si="11"/>
        <v>1124</v>
      </c>
      <c r="O733" s="3">
        <f t="shared" si="12"/>
        <v>482</v>
      </c>
      <c r="P733" s="3" t="str">
        <f t="shared" si="13"/>
        <v>CARD</v>
      </c>
      <c r="Q733" s="3" t="str">
        <f t="shared" si="14"/>
        <v>RETURNED</v>
      </c>
    </row>
    <row r="734">
      <c r="A734" s="1" t="s">
        <v>2251</v>
      </c>
      <c r="B734" s="2">
        <f t="shared" si="1"/>
        <v>46269</v>
      </c>
      <c r="C734" s="1" t="s">
        <v>2252</v>
      </c>
      <c r="D734" s="3" t="str">
        <f t="shared" si="2"/>
        <v>SOBI</v>
      </c>
      <c r="E734" s="3" t="str">
        <f t="shared" si="3"/>
        <v>KARNATAKA</v>
      </c>
      <c r="F734" s="3" t="str">
        <f t="shared" si="4"/>
        <v>BANGALURU</v>
      </c>
      <c r="G734" s="1" t="s">
        <v>2253</v>
      </c>
      <c r="H734" s="3" t="str">
        <f t="shared" si="5"/>
        <v>DRESS</v>
      </c>
      <c r="I734" s="3" t="str">
        <f t="shared" si="6"/>
        <v>WOMEN WAERS</v>
      </c>
      <c r="J734" s="3">
        <f t="shared" si="7"/>
        <v>3</v>
      </c>
      <c r="K734" s="3">
        <f t="shared" si="8"/>
        <v>147</v>
      </c>
      <c r="L734" s="4">
        <f t="shared" si="9"/>
        <v>0.2</v>
      </c>
      <c r="M734" s="3">
        <f t="shared" si="10"/>
        <v>352.8</v>
      </c>
      <c r="N734" s="3">
        <f t="shared" si="11"/>
        <v>247</v>
      </c>
      <c r="O734" s="3">
        <f t="shared" si="12"/>
        <v>106</v>
      </c>
      <c r="P734" s="3" t="str">
        <f t="shared" si="13"/>
        <v>COD</v>
      </c>
      <c r="Q734" s="3" t="str">
        <f t="shared" si="14"/>
        <v>DELIVERED</v>
      </c>
    </row>
    <row r="735">
      <c r="A735" s="1" t="s">
        <v>2254</v>
      </c>
      <c r="B735" s="2">
        <f t="shared" si="1"/>
        <v>46244</v>
      </c>
      <c r="C735" s="1" t="s">
        <v>2255</v>
      </c>
      <c r="D735" s="3" t="str">
        <f t="shared" si="2"/>
        <v>SUJI</v>
      </c>
      <c r="E735" s="3" t="str">
        <f t="shared" si="3"/>
        <v>ANDHRA PRADESH</v>
      </c>
      <c r="F735" s="3" t="str">
        <f t="shared" si="4"/>
        <v>TIRUPATI</v>
      </c>
      <c r="G735" s="1" t="s">
        <v>2256</v>
      </c>
      <c r="H735" s="3" t="str">
        <f t="shared" si="5"/>
        <v>BEAUTY</v>
      </c>
      <c r="I735" s="3" t="str">
        <f t="shared" si="6"/>
        <v>KAJAL</v>
      </c>
      <c r="J735" s="3">
        <f t="shared" si="7"/>
        <v>4</v>
      </c>
      <c r="K735" s="3">
        <f t="shared" si="8"/>
        <v>405</v>
      </c>
      <c r="L735" s="4">
        <f t="shared" si="9"/>
        <v>0</v>
      </c>
      <c r="M735" s="3">
        <f t="shared" si="10"/>
        <v>1620</v>
      </c>
      <c r="N735" s="3">
        <f t="shared" si="11"/>
        <v>1134</v>
      </c>
      <c r="O735" s="3">
        <f t="shared" si="12"/>
        <v>486</v>
      </c>
      <c r="P735" s="3" t="str">
        <f t="shared" si="13"/>
        <v>NET BANKING</v>
      </c>
      <c r="Q735" s="3" t="str">
        <f t="shared" si="14"/>
        <v>SHIPPED</v>
      </c>
    </row>
    <row r="736">
      <c r="A736" s="1" t="s">
        <v>2257</v>
      </c>
      <c r="B736" s="2">
        <f t="shared" si="1"/>
        <v>46205</v>
      </c>
      <c r="C736" s="1" t="s">
        <v>2258</v>
      </c>
      <c r="D736" s="3" t="str">
        <f t="shared" si="2"/>
        <v>RATHA</v>
      </c>
      <c r="E736" s="3" t="str">
        <f t="shared" si="3"/>
        <v>TELUGANA</v>
      </c>
      <c r="F736" s="3" t="str">
        <f t="shared" si="4"/>
        <v>HYDERABAD</v>
      </c>
      <c r="G736" s="1" t="s">
        <v>2259</v>
      </c>
      <c r="H736" s="3" t="str">
        <f t="shared" si="5"/>
        <v>HOME &amp; KITCHEN</v>
      </c>
      <c r="I736" s="3" t="str">
        <f t="shared" si="6"/>
        <v>MIXER GRAINDER</v>
      </c>
      <c r="J736" s="3">
        <f t="shared" si="7"/>
        <v>2</v>
      </c>
      <c r="K736" s="3">
        <f t="shared" si="8"/>
        <v>451</v>
      </c>
      <c r="L736" s="4">
        <f t="shared" si="9"/>
        <v>0.2</v>
      </c>
      <c r="M736" s="3">
        <f t="shared" si="10"/>
        <v>721.6</v>
      </c>
      <c r="N736" s="3">
        <f t="shared" si="11"/>
        <v>505</v>
      </c>
      <c r="O736" s="3">
        <f t="shared" si="12"/>
        <v>217</v>
      </c>
      <c r="P736" s="3" t="str">
        <f t="shared" si="13"/>
        <v>WALLET</v>
      </c>
      <c r="Q736" s="3" t="str">
        <f t="shared" si="14"/>
        <v>CANCELLED</v>
      </c>
    </row>
    <row r="737">
      <c r="A737" s="1" t="s">
        <v>2260</v>
      </c>
      <c r="B737" s="2">
        <f t="shared" si="1"/>
        <v>46371</v>
      </c>
      <c r="C737" s="1" t="s">
        <v>2261</v>
      </c>
      <c r="D737" s="3" t="str">
        <f t="shared" si="2"/>
        <v>SUSA</v>
      </c>
      <c r="E737" s="3" t="str">
        <f t="shared" si="3"/>
        <v>UTTHRA PRADESH</v>
      </c>
      <c r="F737" s="3" t="str">
        <f t="shared" si="4"/>
        <v>LUCKNOW</v>
      </c>
      <c r="G737" s="1" t="s">
        <v>2262</v>
      </c>
      <c r="H737" s="3" t="str">
        <f t="shared" si="5"/>
        <v>BOOKS</v>
      </c>
      <c r="I737" s="3" t="str">
        <f t="shared" si="6"/>
        <v>LIFE OF PI</v>
      </c>
      <c r="J737" s="3">
        <f t="shared" si="7"/>
        <v>2</v>
      </c>
      <c r="K737" s="3">
        <f t="shared" si="8"/>
        <v>531</v>
      </c>
      <c r="L737" s="4">
        <f t="shared" si="9"/>
        <v>0.2</v>
      </c>
      <c r="M737" s="3">
        <f t="shared" si="10"/>
        <v>849.6</v>
      </c>
      <c r="N737" s="3">
        <f t="shared" si="11"/>
        <v>595</v>
      </c>
      <c r="O737" s="3">
        <f t="shared" si="12"/>
        <v>255</v>
      </c>
      <c r="P737" s="3" t="str">
        <f t="shared" si="13"/>
        <v>UPI</v>
      </c>
      <c r="Q737" s="3" t="str">
        <f t="shared" si="14"/>
        <v>RETURNED</v>
      </c>
    </row>
    <row r="738">
      <c r="A738" s="1" t="s">
        <v>2263</v>
      </c>
      <c r="B738" s="2">
        <f t="shared" si="1"/>
        <v>46226</v>
      </c>
      <c r="C738" s="1" t="s">
        <v>2264</v>
      </c>
      <c r="D738" s="3" t="str">
        <f t="shared" si="2"/>
        <v>NIVE</v>
      </c>
      <c r="E738" s="3" t="str">
        <f t="shared" si="3"/>
        <v>GUJARAT</v>
      </c>
      <c r="F738" s="3" t="str">
        <f t="shared" si="4"/>
        <v>SURAT</v>
      </c>
      <c r="G738" s="1" t="s">
        <v>2265</v>
      </c>
      <c r="H738" s="3" t="str">
        <f t="shared" si="5"/>
        <v>ACCESSORIES</v>
      </c>
      <c r="I738" s="3" t="str">
        <f t="shared" si="6"/>
        <v>EARRINGS</v>
      </c>
      <c r="J738" s="3">
        <f t="shared" si="7"/>
        <v>2</v>
      </c>
      <c r="K738" s="3">
        <f t="shared" si="8"/>
        <v>120</v>
      </c>
      <c r="L738" s="4">
        <f t="shared" si="9"/>
        <v>0.2</v>
      </c>
      <c r="M738" s="3">
        <f t="shared" si="10"/>
        <v>192</v>
      </c>
      <c r="N738" s="3">
        <f t="shared" si="11"/>
        <v>134</v>
      </c>
      <c r="O738" s="3">
        <f t="shared" si="12"/>
        <v>58</v>
      </c>
      <c r="P738" s="3" t="str">
        <f t="shared" si="13"/>
        <v>CARD</v>
      </c>
      <c r="Q738" s="3" t="str">
        <f t="shared" si="14"/>
        <v>DELIVERED</v>
      </c>
    </row>
    <row r="739">
      <c r="A739" s="1" t="s">
        <v>2266</v>
      </c>
      <c r="B739" s="2">
        <f t="shared" si="1"/>
        <v>46032</v>
      </c>
      <c r="C739" s="1" t="s">
        <v>2267</v>
      </c>
      <c r="D739" s="3" t="str">
        <f t="shared" si="2"/>
        <v>VINO</v>
      </c>
      <c r="E739" s="3" t="str">
        <f t="shared" si="3"/>
        <v>RAJASTHAN</v>
      </c>
      <c r="F739" s="3" t="str">
        <f t="shared" si="4"/>
        <v>JAIPUR</v>
      </c>
      <c r="G739" s="1" t="s">
        <v>2268</v>
      </c>
      <c r="H739" s="3" t="str">
        <f t="shared" si="5"/>
        <v>ELECTRONICS</v>
      </c>
      <c r="I739" s="3" t="str">
        <f t="shared" si="6"/>
        <v>WIRELESS EARBUDS</v>
      </c>
      <c r="J739" s="3">
        <f t="shared" si="7"/>
        <v>2</v>
      </c>
      <c r="K739" s="3">
        <f t="shared" si="8"/>
        <v>346</v>
      </c>
      <c r="L739" s="4">
        <f t="shared" si="9"/>
        <v>0.15</v>
      </c>
      <c r="M739" s="3">
        <f t="shared" si="10"/>
        <v>588.2</v>
      </c>
      <c r="N739" s="3">
        <f t="shared" si="11"/>
        <v>412</v>
      </c>
      <c r="O739" s="3">
        <f t="shared" si="12"/>
        <v>176</v>
      </c>
      <c r="P739" s="3" t="str">
        <f t="shared" si="13"/>
        <v>COD</v>
      </c>
      <c r="Q739" s="3" t="str">
        <f t="shared" si="14"/>
        <v>SHIPPED</v>
      </c>
    </row>
    <row r="740">
      <c r="A740" s="1" t="s">
        <v>2269</v>
      </c>
      <c r="B740" s="2">
        <f t="shared" si="1"/>
        <v>46172</v>
      </c>
      <c r="C740" s="1" t="s">
        <v>2270</v>
      </c>
      <c r="D740" s="3" t="str">
        <f t="shared" si="2"/>
        <v>ABI</v>
      </c>
      <c r="E740" s="3" t="str">
        <f t="shared" si="3"/>
        <v>WEST BENGAL</v>
      </c>
      <c r="F740" s="3" t="str">
        <f t="shared" si="4"/>
        <v>KOLKATA</v>
      </c>
      <c r="G740" s="1" t="s">
        <v>2271</v>
      </c>
      <c r="H740" s="3" t="str">
        <f t="shared" si="5"/>
        <v>SPORTS</v>
      </c>
      <c r="I740" s="3" t="str">
        <f t="shared" si="6"/>
        <v>FOOTBALL</v>
      </c>
      <c r="J740" s="3">
        <f t="shared" si="7"/>
        <v>2</v>
      </c>
      <c r="K740" s="3">
        <f t="shared" si="8"/>
        <v>545</v>
      </c>
      <c r="L740" s="4">
        <f t="shared" si="9"/>
        <v>0</v>
      </c>
      <c r="M740" s="3">
        <f t="shared" si="10"/>
        <v>1090</v>
      </c>
      <c r="N740" s="3">
        <f t="shared" si="11"/>
        <v>763</v>
      </c>
      <c r="O740" s="3">
        <f t="shared" si="12"/>
        <v>327</v>
      </c>
      <c r="P740" s="3" t="str">
        <f t="shared" si="13"/>
        <v>NET BANKING</v>
      </c>
      <c r="Q740" s="3" t="str">
        <f t="shared" si="14"/>
        <v>CANCELLED</v>
      </c>
    </row>
    <row r="741">
      <c r="A741" s="1" t="s">
        <v>2272</v>
      </c>
      <c r="B741" s="2">
        <f t="shared" si="1"/>
        <v>46160</v>
      </c>
      <c r="C741" s="1" t="s">
        <v>2273</v>
      </c>
      <c r="D741" s="3" t="str">
        <f t="shared" si="2"/>
        <v>NIHAAR</v>
      </c>
      <c r="E741" s="3" t="str">
        <f t="shared" si="3"/>
        <v>MAGARASTRA</v>
      </c>
      <c r="F741" s="3" t="str">
        <f t="shared" si="4"/>
        <v>PUNE</v>
      </c>
      <c r="G741" s="1" t="s">
        <v>2274</v>
      </c>
      <c r="H741" s="3" t="str">
        <f t="shared" si="5"/>
        <v>FOOD</v>
      </c>
      <c r="I741" s="3" t="str">
        <f t="shared" si="6"/>
        <v>BIRIYANI</v>
      </c>
      <c r="J741" s="3">
        <f t="shared" si="7"/>
        <v>5</v>
      </c>
      <c r="K741" s="3">
        <f t="shared" si="8"/>
        <v>182</v>
      </c>
      <c r="L741" s="4">
        <f t="shared" si="9"/>
        <v>0.5</v>
      </c>
      <c r="M741" s="3">
        <f t="shared" si="10"/>
        <v>455</v>
      </c>
      <c r="N741" s="3">
        <f t="shared" si="11"/>
        <v>319</v>
      </c>
      <c r="O741" s="3">
        <f t="shared" si="12"/>
        <v>136</v>
      </c>
      <c r="P741" s="3" t="str">
        <f t="shared" si="13"/>
        <v>WALLET</v>
      </c>
      <c r="Q741" s="3" t="str">
        <f t="shared" si="14"/>
        <v>RETURNED</v>
      </c>
    </row>
    <row r="742">
      <c r="A742" s="1" t="s">
        <v>2275</v>
      </c>
      <c r="B742" s="2">
        <f t="shared" si="1"/>
        <v>46358</v>
      </c>
      <c r="C742" s="1" t="s">
        <v>2276</v>
      </c>
      <c r="D742" s="3" t="str">
        <f t="shared" si="2"/>
        <v>SRI</v>
      </c>
      <c r="E742" s="3" t="str">
        <f t="shared" si="3"/>
        <v>TAMILNADU</v>
      </c>
      <c r="F742" s="3" t="str">
        <f t="shared" si="4"/>
        <v>THOOTHUKUDI</v>
      </c>
      <c r="G742" s="1" t="s">
        <v>2277</v>
      </c>
      <c r="H742" s="3" t="str">
        <f t="shared" si="5"/>
        <v>DRESS</v>
      </c>
      <c r="I742" s="3" t="str">
        <f t="shared" si="6"/>
        <v>WOMEN WAERS</v>
      </c>
      <c r="J742" s="3">
        <f t="shared" si="7"/>
        <v>3</v>
      </c>
      <c r="K742" s="3">
        <f t="shared" si="8"/>
        <v>152</v>
      </c>
      <c r="L742" s="4">
        <f t="shared" si="9"/>
        <v>0.1</v>
      </c>
      <c r="M742" s="3">
        <f t="shared" si="10"/>
        <v>410.4</v>
      </c>
      <c r="N742" s="3">
        <f t="shared" si="11"/>
        <v>287</v>
      </c>
      <c r="O742" s="3">
        <f t="shared" si="12"/>
        <v>123</v>
      </c>
      <c r="P742" s="3" t="str">
        <f t="shared" si="13"/>
        <v>UPI</v>
      </c>
      <c r="Q742" s="3" t="str">
        <f t="shared" si="14"/>
        <v>DELIVERED</v>
      </c>
    </row>
    <row r="743">
      <c r="A743" s="1" t="s">
        <v>2278</v>
      </c>
      <c r="B743" s="2">
        <f t="shared" si="1"/>
        <v>46261</v>
      </c>
      <c r="C743" s="1" t="s">
        <v>2279</v>
      </c>
      <c r="D743" s="3" t="str">
        <f t="shared" si="2"/>
        <v>SHOBN</v>
      </c>
      <c r="E743" s="3" t="str">
        <f t="shared" si="3"/>
        <v>KERALA</v>
      </c>
      <c r="F743" s="3" t="str">
        <f t="shared" si="4"/>
        <v>KOCHI</v>
      </c>
      <c r="G743" s="1" t="s">
        <v>2280</v>
      </c>
      <c r="H743" s="3" t="str">
        <f t="shared" si="5"/>
        <v>BEAUTY</v>
      </c>
      <c r="I743" s="3" t="str">
        <f t="shared" si="6"/>
        <v>KAJAL</v>
      </c>
      <c r="J743" s="3">
        <f t="shared" si="7"/>
        <v>2</v>
      </c>
      <c r="K743" s="3">
        <f t="shared" si="8"/>
        <v>316</v>
      </c>
      <c r="L743" s="4">
        <f t="shared" si="9"/>
        <v>0.17</v>
      </c>
      <c r="M743" s="3">
        <f t="shared" si="10"/>
        <v>524.56</v>
      </c>
      <c r="N743" s="3">
        <f t="shared" si="11"/>
        <v>367</v>
      </c>
      <c r="O743" s="3">
        <f t="shared" si="12"/>
        <v>158</v>
      </c>
      <c r="P743" s="3" t="str">
        <f t="shared" si="13"/>
        <v>CARD</v>
      </c>
      <c r="Q743" s="3" t="str">
        <f t="shared" si="14"/>
        <v>SHIPPED</v>
      </c>
    </row>
    <row r="744">
      <c r="A744" s="1" t="s">
        <v>2281</v>
      </c>
      <c r="B744" s="2">
        <f t="shared" si="1"/>
        <v>46120</v>
      </c>
      <c r="C744" s="1" t="s">
        <v>2282</v>
      </c>
      <c r="D744" s="3" t="str">
        <f t="shared" si="2"/>
        <v>SOBI</v>
      </c>
      <c r="E744" s="3" t="str">
        <f t="shared" si="3"/>
        <v>KARNATAKA</v>
      </c>
      <c r="F744" s="3" t="str">
        <f t="shared" si="4"/>
        <v>BANGALURU</v>
      </c>
      <c r="G744" s="1" t="s">
        <v>2283</v>
      </c>
      <c r="H744" s="3" t="str">
        <f t="shared" si="5"/>
        <v>HOME &amp; KITCHEN</v>
      </c>
      <c r="I744" s="3" t="str">
        <f t="shared" si="6"/>
        <v>MIXER GRAINDER</v>
      </c>
      <c r="J744" s="3">
        <f t="shared" si="7"/>
        <v>5</v>
      </c>
      <c r="K744" s="3">
        <f t="shared" si="8"/>
        <v>319</v>
      </c>
      <c r="L744" s="4">
        <f t="shared" si="9"/>
        <v>0.5</v>
      </c>
      <c r="M744" s="3">
        <f t="shared" si="10"/>
        <v>797.5</v>
      </c>
      <c r="N744" s="3">
        <f t="shared" si="11"/>
        <v>558</v>
      </c>
      <c r="O744" s="3">
        <f t="shared" si="12"/>
        <v>240</v>
      </c>
      <c r="P744" s="3" t="str">
        <f t="shared" si="13"/>
        <v>COD</v>
      </c>
      <c r="Q744" s="3" t="str">
        <f t="shared" si="14"/>
        <v>CANCELLED</v>
      </c>
    </row>
    <row r="745">
      <c r="A745" s="1" t="s">
        <v>2284</v>
      </c>
      <c r="B745" s="2">
        <f t="shared" si="1"/>
        <v>46029</v>
      </c>
      <c r="C745" s="1" t="s">
        <v>2285</v>
      </c>
      <c r="D745" s="3" t="str">
        <f t="shared" si="2"/>
        <v>SUJI</v>
      </c>
      <c r="E745" s="3" t="str">
        <f t="shared" si="3"/>
        <v>ANDHRA PRADESH</v>
      </c>
      <c r="F745" s="3" t="str">
        <f t="shared" si="4"/>
        <v>TIRUPATI</v>
      </c>
      <c r="G745" s="1" t="s">
        <v>2286</v>
      </c>
      <c r="H745" s="3" t="str">
        <f t="shared" si="5"/>
        <v>BOOKS</v>
      </c>
      <c r="I745" s="3" t="str">
        <f t="shared" si="6"/>
        <v>LIFE OF PI</v>
      </c>
      <c r="J745" s="3">
        <f t="shared" si="7"/>
        <v>1</v>
      </c>
      <c r="K745" s="3">
        <f t="shared" si="8"/>
        <v>491</v>
      </c>
      <c r="L745" s="4">
        <f t="shared" si="9"/>
        <v>0</v>
      </c>
      <c r="M745" s="3">
        <f t="shared" si="10"/>
        <v>491</v>
      </c>
      <c r="N745" s="3">
        <f t="shared" si="11"/>
        <v>344</v>
      </c>
      <c r="O745" s="3">
        <f t="shared" si="12"/>
        <v>147</v>
      </c>
      <c r="P745" s="3" t="str">
        <f t="shared" si="13"/>
        <v>NET BANKING</v>
      </c>
      <c r="Q745" s="3" t="str">
        <f t="shared" si="14"/>
        <v>RETURNED</v>
      </c>
    </row>
    <row r="746">
      <c r="A746" s="1" t="s">
        <v>2287</v>
      </c>
      <c r="B746" s="2">
        <f t="shared" si="1"/>
        <v>46196</v>
      </c>
      <c r="C746" s="1" t="s">
        <v>2288</v>
      </c>
      <c r="D746" s="3" t="str">
        <f t="shared" si="2"/>
        <v>RATHA</v>
      </c>
      <c r="E746" s="3" t="str">
        <f t="shared" si="3"/>
        <v>TELUGANA</v>
      </c>
      <c r="F746" s="3" t="str">
        <f t="shared" si="4"/>
        <v>HYDERABAD</v>
      </c>
      <c r="G746" s="1" t="s">
        <v>2289</v>
      </c>
      <c r="H746" s="3" t="str">
        <f t="shared" si="5"/>
        <v>ACCESSORIES</v>
      </c>
      <c r="I746" s="3" t="str">
        <f t="shared" si="6"/>
        <v>EARRINGS</v>
      </c>
      <c r="J746" s="3">
        <f t="shared" si="7"/>
        <v>5</v>
      </c>
      <c r="K746" s="3">
        <f t="shared" si="8"/>
        <v>578</v>
      </c>
      <c r="L746" s="4">
        <f t="shared" si="9"/>
        <v>0.2</v>
      </c>
      <c r="M746" s="3">
        <f t="shared" si="10"/>
        <v>2312</v>
      </c>
      <c r="N746" s="3">
        <f t="shared" si="11"/>
        <v>1618</v>
      </c>
      <c r="O746" s="3">
        <f t="shared" si="12"/>
        <v>694</v>
      </c>
      <c r="P746" s="3" t="str">
        <f t="shared" si="13"/>
        <v>WALLET</v>
      </c>
      <c r="Q746" s="3" t="str">
        <f t="shared" si="14"/>
        <v>DELIVERED</v>
      </c>
    </row>
    <row r="747">
      <c r="A747" s="1" t="s">
        <v>2290</v>
      </c>
      <c r="B747" s="2">
        <f t="shared" si="1"/>
        <v>46023</v>
      </c>
      <c r="C747" s="1" t="s">
        <v>2291</v>
      </c>
      <c r="D747" s="3" t="str">
        <f t="shared" si="2"/>
        <v>SUSA</v>
      </c>
      <c r="E747" s="3" t="str">
        <f t="shared" si="3"/>
        <v>UTTHRA PRADESH</v>
      </c>
      <c r="F747" s="3" t="str">
        <f t="shared" si="4"/>
        <v>LUCKNOW</v>
      </c>
      <c r="G747" s="1" t="s">
        <v>2292</v>
      </c>
      <c r="H747" s="3" t="str">
        <f t="shared" si="5"/>
        <v>ELECTRONICS</v>
      </c>
      <c r="I747" s="3" t="str">
        <f t="shared" si="6"/>
        <v>WIRELESS EARBUDS</v>
      </c>
      <c r="J747" s="3">
        <f t="shared" si="7"/>
        <v>2</v>
      </c>
      <c r="K747" s="3">
        <f t="shared" si="8"/>
        <v>103</v>
      </c>
      <c r="L747" s="4">
        <f t="shared" si="9"/>
        <v>0</v>
      </c>
      <c r="M747" s="3">
        <f t="shared" si="10"/>
        <v>206</v>
      </c>
      <c r="N747" s="3">
        <f t="shared" si="11"/>
        <v>144</v>
      </c>
      <c r="O747" s="3">
        <f t="shared" si="12"/>
        <v>62</v>
      </c>
      <c r="P747" s="3" t="str">
        <f t="shared" si="13"/>
        <v>UPI</v>
      </c>
      <c r="Q747" s="3" t="str">
        <f t="shared" si="14"/>
        <v>SHIPPED</v>
      </c>
    </row>
    <row r="748">
      <c r="A748" s="1" t="s">
        <v>2293</v>
      </c>
      <c r="B748" s="2">
        <f t="shared" si="1"/>
        <v>46285</v>
      </c>
      <c r="C748" s="1" t="s">
        <v>2294</v>
      </c>
      <c r="D748" s="3" t="str">
        <f t="shared" si="2"/>
        <v>NIVE</v>
      </c>
      <c r="E748" s="3" t="str">
        <f t="shared" si="3"/>
        <v>GUJARAT</v>
      </c>
      <c r="F748" s="3" t="str">
        <f t="shared" si="4"/>
        <v>SURAT</v>
      </c>
      <c r="G748" s="1" t="s">
        <v>2295</v>
      </c>
      <c r="H748" s="3" t="str">
        <f t="shared" si="5"/>
        <v>SPORTS</v>
      </c>
      <c r="I748" s="3" t="str">
        <f t="shared" si="6"/>
        <v>FOOTBALL</v>
      </c>
      <c r="J748" s="3">
        <f t="shared" si="7"/>
        <v>5</v>
      </c>
      <c r="K748" s="3">
        <f t="shared" si="8"/>
        <v>355</v>
      </c>
      <c r="L748" s="4">
        <f t="shared" si="9"/>
        <v>0.15</v>
      </c>
      <c r="M748" s="3">
        <f t="shared" si="10"/>
        <v>1508.75</v>
      </c>
      <c r="N748" s="3">
        <f t="shared" si="11"/>
        <v>1056</v>
      </c>
      <c r="O748" s="3">
        <f t="shared" si="12"/>
        <v>453</v>
      </c>
      <c r="P748" s="3" t="str">
        <f t="shared" si="13"/>
        <v>CARD</v>
      </c>
      <c r="Q748" s="3" t="str">
        <f t="shared" si="14"/>
        <v>CANCELLED</v>
      </c>
    </row>
    <row r="749">
      <c r="A749" s="1" t="s">
        <v>2296</v>
      </c>
      <c r="B749" s="2">
        <f t="shared" si="1"/>
        <v>46100</v>
      </c>
      <c r="C749" s="1" t="s">
        <v>2297</v>
      </c>
      <c r="D749" s="3" t="str">
        <f t="shared" si="2"/>
        <v>VINO</v>
      </c>
      <c r="E749" s="3" t="str">
        <f t="shared" si="3"/>
        <v>RAJASTHAN</v>
      </c>
      <c r="F749" s="3" t="str">
        <f t="shared" si="4"/>
        <v>JAIPUR</v>
      </c>
      <c r="G749" s="1" t="s">
        <v>2298</v>
      </c>
      <c r="H749" s="3" t="str">
        <f t="shared" si="5"/>
        <v>FOOD</v>
      </c>
      <c r="I749" s="3" t="str">
        <f t="shared" si="6"/>
        <v>BIRIYANI</v>
      </c>
      <c r="J749" s="3">
        <f t="shared" si="7"/>
        <v>4</v>
      </c>
      <c r="K749" s="3">
        <f t="shared" si="8"/>
        <v>390</v>
      </c>
      <c r="L749" s="4">
        <f t="shared" si="9"/>
        <v>0.5</v>
      </c>
      <c r="M749" s="3">
        <f t="shared" si="10"/>
        <v>780</v>
      </c>
      <c r="N749" s="3">
        <f t="shared" si="11"/>
        <v>546</v>
      </c>
      <c r="O749" s="3">
        <f t="shared" si="12"/>
        <v>234</v>
      </c>
      <c r="P749" s="3" t="str">
        <f t="shared" si="13"/>
        <v>COD</v>
      </c>
      <c r="Q749" s="3" t="str">
        <f t="shared" si="14"/>
        <v>RETURNED</v>
      </c>
    </row>
    <row r="750">
      <c r="A750" s="1" t="s">
        <v>2299</v>
      </c>
      <c r="B750" s="2">
        <f t="shared" si="1"/>
        <v>46155</v>
      </c>
      <c r="C750" s="1" t="s">
        <v>2300</v>
      </c>
      <c r="D750" s="3" t="str">
        <f t="shared" si="2"/>
        <v>ABI</v>
      </c>
      <c r="E750" s="3" t="str">
        <f t="shared" si="3"/>
        <v>WEST BENGAL</v>
      </c>
      <c r="F750" s="3" t="str">
        <f t="shared" si="4"/>
        <v>KOLKATA</v>
      </c>
      <c r="G750" s="1" t="s">
        <v>2301</v>
      </c>
      <c r="H750" s="3" t="str">
        <f t="shared" si="5"/>
        <v>DRESS</v>
      </c>
      <c r="I750" s="3" t="str">
        <f t="shared" si="6"/>
        <v>WOMEN WAERS</v>
      </c>
      <c r="J750" s="3">
        <f t="shared" si="7"/>
        <v>2</v>
      </c>
      <c r="K750" s="3">
        <f t="shared" si="8"/>
        <v>446</v>
      </c>
      <c r="L750" s="4">
        <f t="shared" si="9"/>
        <v>0.2</v>
      </c>
      <c r="M750" s="3">
        <f t="shared" si="10"/>
        <v>713.6</v>
      </c>
      <c r="N750" s="3">
        <f t="shared" si="11"/>
        <v>500</v>
      </c>
      <c r="O750" s="3">
        <f t="shared" si="12"/>
        <v>214</v>
      </c>
      <c r="P750" s="3" t="str">
        <f t="shared" si="13"/>
        <v>NET BANKING</v>
      </c>
      <c r="Q750" s="3" t="str">
        <f t="shared" si="14"/>
        <v>DELIVERED</v>
      </c>
    </row>
    <row r="751">
      <c r="A751" s="1" t="s">
        <v>2302</v>
      </c>
      <c r="B751" s="2">
        <f t="shared" si="1"/>
        <v>46053</v>
      </c>
      <c r="C751" s="1" t="s">
        <v>2303</v>
      </c>
      <c r="D751" s="3" t="str">
        <f t="shared" si="2"/>
        <v>NIHAAR</v>
      </c>
      <c r="E751" s="3" t="str">
        <f t="shared" si="3"/>
        <v>MAGARASTRA</v>
      </c>
      <c r="F751" s="3" t="str">
        <f t="shared" si="4"/>
        <v>PUNE</v>
      </c>
      <c r="G751" s="1" t="s">
        <v>2304</v>
      </c>
      <c r="H751" s="3" t="str">
        <f t="shared" si="5"/>
        <v>BEAUTY</v>
      </c>
      <c r="I751" s="3" t="str">
        <f t="shared" si="6"/>
        <v>KAJAL</v>
      </c>
      <c r="J751" s="3">
        <f t="shared" si="7"/>
        <v>2</v>
      </c>
      <c r="K751" s="3">
        <f t="shared" si="8"/>
        <v>233</v>
      </c>
      <c r="L751" s="4">
        <f t="shared" si="9"/>
        <v>0</v>
      </c>
      <c r="M751" s="3">
        <f t="shared" si="10"/>
        <v>466</v>
      </c>
      <c r="N751" s="3">
        <f t="shared" si="11"/>
        <v>326</v>
      </c>
      <c r="O751" s="3">
        <f t="shared" si="12"/>
        <v>140</v>
      </c>
      <c r="P751" s="3" t="str">
        <f t="shared" si="13"/>
        <v>WALLET</v>
      </c>
      <c r="Q751" s="3" t="str">
        <f t="shared" si="14"/>
        <v>SHIPPED</v>
      </c>
    </row>
    <row r="752">
      <c r="A752" s="1" t="s">
        <v>2305</v>
      </c>
      <c r="B752" s="2">
        <f t="shared" si="1"/>
        <v>46383</v>
      </c>
      <c r="C752" s="1" t="s">
        <v>2306</v>
      </c>
      <c r="D752" s="3" t="str">
        <f t="shared" si="2"/>
        <v>SRI</v>
      </c>
      <c r="E752" s="3" t="str">
        <f t="shared" si="3"/>
        <v>TAMILNADU</v>
      </c>
      <c r="F752" s="3" t="str">
        <f t="shared" si="4"/>
        <v>THOOTHUKUDI</v>
      </c>
      <c r="G752" s="1" t="s">
        <v>2307</v>
      </c>
      <c r="H752" s="3" t="str">
        <f t="shared" si="5"/>
        <v>HOME &amp; KITCHEN</v>
      </c>
      <c r="I752" s="3" t="str">
        <f t="shared" si="6"/>
        <v>MIXER GRAINDER</v>
      </c>
      <c r="J752" s="3">
        <f t="shared" si="7"/>
        <v>2</v>
      </c>
      <c r="K752" s="3">
        <f t="shared" si="8"/>
        <v>560</v>
      </c>
      <c r="L752" s="4">
        <f t="shared" si="9"/>
        <v>0</v>
      </c>
      <c r="M752" s="3">
        <f t="shared" si="10"/>
        <v>1120</v>
      </c>
      <c r="N752" s="3">
        <f t="shared" si="11"/>
        <v>784</v>
      </c>
      <c r="O752" s="3">
        <f t="shared" si="12"/>
        <v>336</v>
      </c>
      <c r="P752" s="3" t="str">
        <f t="shared" si="13"/>
        <v>UPI</v>
      </c>
      <c r="Q752" s="3" t="str">
        <f t="shared" si="14"/>
        <v>CANCELLED</v>
      </c>
    </row>
    <row r="753">
      <c r="A753" s="1" t="s">
        <v>2308</v>
      </c>
      <c r="B753" s="2">
        <f t="shared" si="1"/>
        <v>46125</v>
      </c>
      <c r="C753" s="1" t="s">
        <v>2309</v>
      </c>
      <c r="D753" s="3" t="str">
        <f t="shared" si="2"/>
        <v>SHOBN</v>
      </c>
      <c r="E753" s="3" t="str">
        <f t="shared" si="3"/>
        <v>KERALA</v>
      </c>
      <c r="F753" s="3" t="str">
        <f t="shared" si="4"/>
        <v>KOCHI</v>
      </c>
      <c r="G753" s="1" t="s">
        <v>2310</v>
      </c>
      <c r="H753" s="3" t="str">
        <f t="shared" si="5"/>
        <v>BOOKS</v>
      </c>
      <c r="I753" s="3" t="str">
        <f t="shared" si="6"/>
        <v>LIFE OF PI</v>
      </c>
      <c r="J753" s="3">
        <f t="shared" si="7"/>
        <v>2</v>
      </c>
      <c r="K753" s="3">
        <f t="shared" si="8"/>
        <v>373</v>
      </c>
      <c r="L753" s="4">
        <f t="shared" si="9"/>
        <v>0.5</v>
      </c>
      <c r="M753" s="3">
        <f t="shared" si="10"/>
        <v>373</v>
      </c>
      <c r="N753" s="3">
        <f t="shared" si="11"/>
        <v>261</v>
      </c>
      <c r="O753" s="3">
        <f t="shared" si="12"/>
        <v>112</v>
      </c>
      <c r="P753" s="3" t="str">
        <f t="shared" si="13"/>
        <v>CARD</v>
      </c>
      <c r="Q753" s="3" t="str">
        <f t="shared" si="14"/>
        <v>RETURNED</v>
      </c>
    </row>
    <row r="754">
      <c r="A754" s="1" t="s">
        <v>2311</v>
      </c>
      <c r="B754" s="2">
        <f t="shared" si="1"/>
        <v>46139</v>
      </c>
      <c r="C754" s="1" t="s">
        <v>2312</v>
      </c>
      <c r="D754" s="3" t="str">
        <f t="shared" si="2"/>
        <v>SOBI</v>
      </c>
      <c r="E754" s="3" t="str">
        <f t="shared" si="3"/>
        <v>KARNATAKA</v>
      </c>
      <c r="F754" s="3" t="str">
        <f t="shared" si="4"/>
        <v>BANGALURU</v>
      </c>
      <c r="G754" s="1" t="s">
        <v>2313</v>
      </c>
      <c r="H754" s="3" t="str">
        <f t="shared" si="5"/>
        <v>ACCESSORIES</v>
      </c>
      <c r="I754" s="3" t="str">
        <f t="shared" si="6"/>
        <v>EARRINGS</v>
      </c>
      <c r="J754" s="3">
        <f t="shared" si="7"/>
        <v>1</v>
      </c>
      <c r="K754" s="3">
        <f t="shared" si="8"/>
        <v>565</v>
      </c>
      <c r="L754" s="4">
        <f t="shared" si="9"/>
        <v>0.17</v>
      </c>
      <c r="M754" s="3">
        <f t="shared" si="10"/>
        <v>468.95</v>
      </c>
      <c r="N754" s="3">
        <f t="shared" si="11"/>
        <v>328</v>
      </c>
      <c r="O754" s="3">
        <f t="shared" si="12"/>
        <v>141</v>
      </c>
      <c r="P754" s="3" t="str">
        <f t="shared" si="13"/>
        <v>COD</v>
      </c>
      <c r="Q754" s="3" t="str">
        <f t="shared" si="14"/>
        <v>DELIVERED</v>
      </c>
    </row>
    <row r="755">
      <c r="A755" s="1" t="s">
        <v>2314</v>
      </c>
      <c r="B755" s="2">
        <f t="shared" si="1"/>
        <v>46138</v>
      </c>
      <c r="C755" s="1" t="s">
        <v>2315</v>
      </c>
      <c r="D755" s="3" t="str">
        <f t="shared" si="2"/>
        <v>SUJI</v>
      </c>
      <c r="E755" s="3" t="str">
        <f t="shared" si="3"/>
        <v>ANDHRA PRADESH</v>
      </c>
      <c r="F755" s="3" t="str">
        <f t="shared" si="4"/>
        <v>TIRUPATI</v>
      </c>
      <c r="G755" s="1" t="s">
        <v>2316</v>
      </c>
      <c r="H755" s="3" t="str">
        <f t="shared" si="5"/>
        <v>ELECTRONICS</v>
      </c>
      <c r="I755" s="3" t="str">
        <f t="shared" si="6"/>
        <v>WIRELESS EARBUDS</v>
      </c>
      <c r="J755" s="3">
        <f t="shared" si="7"/>
        <v>3</v>
      </c>
      <c r="K755" s="3">
        <f t="shared" si="8"/>
        <v>132</v>
      </c>
      <c r="L755" s="4">
        <f t="shared" si="9"/>
        <v>0.1</v>
      </c>
      <c r="M755" s="3">
        <f t="shared" si="10"/>
        <v>356.4</v>
      </c>
      <c r="N755" s="3">
        <f t="shared" si="11"/>
        <v>249</v>
      </c>
      <c r="O755" s="3">
        <f t="shared" si="12"/>
        <v>107</v>
      </c>
      <c r="P755" s="3" t="str">
        <f t="shared" si="13"/>
        <v>NET BANKING</v>
      </c>
      <c r="Q755" s="3" t="str">
        <f t="shared" si="14"/>
        <v>SHIPPED</v>
      </c>
    </row>
    <row r="756">
      <c r="A756" s="1" t="s">
        <v>2317</v>
      </c>
      <c r="B756" s="2">
        <f t="shared" si="1"/>
        <v>46148</v>
      </c>
      <c r="C756" s="1" t="s">
        <v>2318</v>
      </c>
      <c r="D756" s="3" t="str">
        <f t="shared" si="2"/>
        <v>RATHA</v>
      </c>
      <c r="E756" s="3" t="str">
        <f t="shared" si="3"/>
        <v>TELUGANA</v>
      </c>
      <c r="F756" s="3" t="str">
        <f t="shared" si="4"/>
        <v>HYDERABAD</v>
      </c>
      <c r="G756" s="1" t="s">
        <v>2319</v>
      </c>
      <c r="H756" s="3" t="str">
        <f t="shared" si="5"/>
        <v>SPORTS</v>
      </c>
      <c r="I756" s="3" t="str">
        <f t="shared" si="6"/>
        <v>FOOTBALL</v>
      </c>
      <c r="J756" s="3">
        <f t="shared" si="7"/>
        <v>4</v>
      </c>
      <c r="K756" s="3">
        <f t="shared" si="8"/>
        <v>272</v>
      </c>
      <c r="L756" s="4">
        <f t="shared" si="9"/>
        <v>0.17</v>
      </c>
      <c r="M756" s="3">
        <f t="shared" si="10"/>
        <v>903.04</v>
      </c>
      <c r="N756" s="3">
        <f t="shared" si="11"/>
        <v>632</v>
      </c>
      <c r="O756" s="3">
        <f t="shared" si="12"/>
        <v>271</v>
      </c>
      <c r="P756" s="3" t="str">
        <f t="shared" si="13"/>
        <v>WALLET</v>
      </c>
      <c r="Q756" s="3" t="str">
        <f t="shared" si="14"/>
        <v>CANCELLED</v>
      </c>
    </row>
    <row r="757">
      <c r="A757" s="1" t="s">
        <v>2320</v>
      </c>
      <c r="B757" s="2">
        <f t="shared" si="1"/>
        <v>46374</v>
      </c>
      <c r="C757" s="1" t="s">
        <v>2321</v>
      </c>
      <c r="D757" s="3" t="str">
        <f t="shared" si="2"/>
        <v>SUSA</v>
      </c>
      <c r="E757" s="3" t="str">
        <f t="shared" si="3"/>
        <v>UTTHRA PRADESH</v>
      </c>
      <c r="F757" s="3" t="str">
        <f t="shared" si="4"/>
        <v>LUCKNOW</v>
      </c>
      <c r="G757" s="1" t="s">
        <v>2322</v>
      </c>
      <c r="H757" s="3" t="str">
        <f t="shared" si="5"/>
        <v>FOOD</v>
      </c>
      <c r="I757" s="3" t="str">
        <f t="shared" si="6"/>
        <v>BIRIYANI</v>
      </c>
      <c r="J757" s="3">
        <f t="shared" si="7"/>
        <v>1</v>
      </c>
      <c r="K757" s="3">
        <f t="shared" si="8"/>
        <v>186</v>
      </c>
      <c r="L757" s="4">
        <f t="shared" si="9"/>
        <v>0.2</v>
      </c>
      <c r="M757" s="3">
        <f t="shared" si="10"/>
        <v>148.8</v>
      </c>
      <c r="N757" s="3">
        <f t="shared" si="11"/>
        <v>104</v>
      </c>
      <c r="O757" s="3">
        <f t="shared" si="12"/>
        <v>45</v>
      </c>
      <c r="P757" s="3" t="str">
        <f t="shared" si="13"/>
        <v>UPI</v>
      </c>
      <c r="Q757" s="3" t="str">
        <f t="shared" si="14"/>
        <v>RETURNED</v>
      </c>
    </row>
    <row r="758">
      <c r="A758" s="1" t="s">
        <v>2323</v>
      </c>
      <c r="B758" s="2">
        <f t="shared" si="1"/>
        <v>46101</v>
      </c>
      <c r="C758" s="1" t="s">
        <v>2324</v>
      </c>
      <c r="D758" s="3" t="str">
        <f t="shared" si="2"/>
        <v>NIVE</v>
      </c>
      <c r="E758" s="3" t="str">
        <f t="shared" si="3"/>
        <v>GUJARAT</v>
      </c>
      <c r="F758" s="3" t="str">
        <f t="shared" si="4"/>
        <v>SURAT</v>
      </c>
      <c r="G758" s="1" t="s">
        <v>2325</v>
      </c>
      <c r="H758" s="3" t="str">
        <f t="shared" si="5"/>
        <v>DRESS</v>
      </c>
      <c r="I758" s="3" t="str">
        <f t="shared" si="6"/>
        <v>WOMEN WAERS</v>
      </c>
      <c r="J758" s="3">
        <f t="shared" si="7"/>
        <v>3</v>
      </c>
      <c r="K758" s="3">
        <f t="shared" si="8"/>
        <v>153</v>
      </c>
      <c r="L758" s="4">
        <f t="shared" si="9"/>
        <v>0.2</v>
      </c>
      <c r="M758" s="3">
        <f t="shared" si="10"/>
        <v>367.2</v>
      </c>
      <c r="N758" s="3">
        <f t="shared" si="11"/>
        <v>257</v>
      </c>
      <c r="O758" s="3">
        <f t="shared" si="12"/>
        <v>110</v>
      </c>
      <c r="P758" s="3" t="str">
        <f t="shared" si="13"/>
        <v>CARD</v>
      </c>
      <c r="Q758" s="3" t="str">
        <f t="shared" si="14"/>
        <v>DELIVERED</v>
      </c>
    </row>
    <row r="759">
      <c r="A759" s="1" t="s">
        <v>2326</v>
      </c>
      <c r="B759" s="2">
        <f t="shared" si="1"/>
        <v>46079</v>
      </c>
      <c r="C759" s="1" t="s">
        <v>2327</v>
      </c>
      <c r="D759" s="3" t="str">
        <f t="shared" si="2"/>
        <v>VINO</v>
      </c>
      <c r="E759" s="3" t="str">
        <f t="shared" si="3"/>
        <v>RAJASTHAN</v>
      </c>
      <c r="F759" s="3" t="str">
        <f t="shared" si="4"/>
        <v>JAIPUR</v>
      </c>
      <c r="G759" s="1" t="s">
        <v>2328</v>
      </c>
      <c r="H759" s="3" t="str">
        <f t="shared" si="5"/>
        <v>BEAUTY</v>
      </c>
      <c r="I759" s="3" t="str">
        <f t="shared" si="6"/>
        <v>KAJAL</v>
      </c>
      <c r="J759" s="3">
        <f t="shared" si="7"/>
        <v>5</v>
      </c>
      <c r="K759" s="3">
        <f t="shared" si="8"/>
        <v>293</v>
      </c>
      <c r="L759" s="4">
        <f t="shared" si="9"/>
        <v>0.2</v>
      </c>
      <c r="M759" s="3">
        <f t="shared" si="10"/>
        <v>1172</v>
      </c>
      <c r="N759" s="3">
        <f t="shared" si="11"/>
        <v>820</v>
      </c>
      <c r="O759" s="3">
        <f t="shared" si="12"/>
        <v>352</v>
      </c>
      <c r="P759" s="3" t="str">
        <f t="shared" si="13"/>
        <v>COD</v>
      </c>
      <c r="Q759" s="3" t="str">
        <f t="shared" si="14"/>
        <v>SHIPPED</v>
      </c>
    </row>
    <row r="760">
      <c r="A760" s="1" t="s">
        <v>2329</v>
      </c>
      <c r="B760" s="2">
        <f t="shared" si="1"/>
        <v>46297</v>
      </c>
      <c r="C760" s="1" t="s">
        <v>2330</v>
      </c>
      <c r="D760" s="3" t="str">
        <f t="shared" si="2"/>
        <v>ABI</v>
      </c>
      <c r="E760" s="3" t="str">
        <f t="shared" si="3"/>
        <v>WEST BENGAL</v>
      </c>
      <c r="F760" s="3" t="str">
        <f t="shared" si="4"/>
        <v>KOLKATA</v>
      </c>
      <c r="G760" s="1" t="s">
        <v>2331</v>
      </c>
      <c r="H760" s="3" t="str">
        <f t="shared" si="5"/>
        <v>HOME &amp; KITCHEN</v>
      </c>
      <c r="I760" s="3" t="str">
        <f t="shared" si="6"/>
        <v>MIXER GRAINDER</v>
      </c>
      <c r="J760" s="3">
        <f t="shared" si="7"/>
        <v>3</v>
      </c>
      <c r="K760" s="3">
        <f t="shared" si="8"/>
        <v>261</v>
      </c>
      <c r="L760" s="4">
        <f t="shared" si="9"/>
        <v>0.2</v>
      </c>
      <c r="M760" s="3">
        <f t="shared" si="10"/>
        <v>626.4</v>
      </c>
      <c r="N760" s="3">
        <f t="shared" si="11"/>
        <v>438</v>
      </c>
      <c r="O760" s="3">
        <f t="shared" si="12"/>
        <v>188</v>
      </c>
      <c r="P760" s="3" t="str">
        <f t="shared" si="13"/>
        <v>NET BANKING</v>
      </c>
      <c r="Q760" s="3" t="str">
        <f t="shared" si="14"/>
        <v>CANCELLED</v>
      </c>
    </row>
    <row r="761">
      <c r="A761" s="1" t="s">
        <v>2332</v>
      </c>
      <c r="B761" s="2">
        <f t="shared" si="1"/>
        <v>46098</v>
      </c>
      <c r="C761" s="1" t="s">
        <v>2333</v>
      </c>
      <c r="D761" s="3" t="str">
        <f t="shared" si="2"/>
        <v>NIHAAR</v>
      </c>
      <c r="E761" s="3" t="str">
        <f t="shared" si="3"/>
        <v>MAGARASTRA</v>
      </c>
      <c r="F761" s="3" t="str">
        <f t="shared" si="4"/>
        <v>PUNE</v>
      </c>
      <c r="G761" s="1" t="s">
        <v>2334</v>
      </c>
      <c r="H761" s="3" t="str">
        <f t="shared" si="5"/>
        <v>BOOKS</v>
      </c>
      <c r="I761" s="3" t="str">
        <f t="shared" si="6"/>
        <v>LIFE OF PI</v>
      </c>
      <c r="J761" s="3">
        <f t="shared" si="7"/>
        <v>2</v>
      </c>
      <c r="K761" s="3">
        <f t="shared" si="8"/>
        <v>368</v>
      </c>
      <c r="L761" s="4">
        <f t="shared" si="9"/>
        <v>0.2</v>
      </c>
      <c r="M761" s="3">
        <f t="shared" si="10"/>
        <v>588.8</v>
      </c>
      <c r="N761" s="3">
        <f t="shared" si="11"/>
        <v>412</v>
      </c>
      <c r="O761" s="3">
        <f t="shared" si="12"/>
        <v>177</v>
      </c>
      <c r="P761" s="3" t="str">
        <f t="shared" si="13"/>
        <v>WALLET</v>
      </c>
      <c r="Q761" s="3" t="str">
        <f t="shared" si="14"/>
        <v>RETURNED</v>
      </c>
    </row>
    <row r="762">
      <c r="A762" s="1" t="s">
        <v>2335</v>
      </c>
      <c r="B762" s="2">
        <f t="shared" si="1"/>
        <v>46373</v>
      </c>
      <c r="C762" s="1" t="s">
        <v>2336</v>
      </c>
      <c r="D762" s="3" t="str">
        <f t="shared" si="2"/>
        <v>SRI</v>
      </c>
      <c r="E762" s="3" t="str">
        <f t="shared" si="3"/>
        <v>TAMILNADU</v>
      </c>
      <c r="F762" s="3" t="str">
        <f t="shared" si="4"/>
        <v>THOOTHUKUDI</v>
      </c>
      <c r="G762" s="1" t="s">
        <v>2337</v>
      </c>
      <c r="H762" s="3" t="str">
        <f t="shared" si="5"/>
        <v>ACCESSORIES</v>
      </c>
      <c r="I762" s="3" t="str">
        <f t="shared" si="6"/>
        <v>EARRINGS</v>
      </c>
      <c r="J762" s="3">
        <f t="shared" si="7"/>
        <v>5</v>
      </c>
      <c r="K762" s="3">
        <f t="shared" si="8"/>
        <v>599</v>
      </c>
      <c r="L762" s="4">
        <f t="shared" si="9"/>
        <v>0.15</v>
      </c>
      <c r="M762" s="3">
        <f t="shared" si="10"/>
        <v>2545.75</v>
      </c>
      <c r="N762" s="3">
        <f t="shared" si="11"/>
        <v>1782</v>
      </c>
      <c r="O762" s="3">
        <f t="shared" si="12"/>
        <v>764</v>
      </c>
      <c r="P762" s="3" t="str">
        <f t="shared" si="13"/>
        <v>UPI</v>
      </c>
      <c r="Q762" s="3" t="str">
        <f t="shared" si="14"/>
        <v>DELIVERED</v>
      </c>
    </row>
    <row r="763">
      <c r="A763" s="1" t="s">
        <v>2338</v>
      </c>
      <c r="B763" s="2">
        <f t="shared" si="1"/>
        <v>46312</v>
      </c>
      <c r="C763" s="1" t="s">
        <v>2339</v>
      </c>
      <c r="D763" s="3" t="str">
        <f t="shared" si="2"/>
        <v>SHOBN</v>
      </c>
      <c r="E763" s="3" t="str">
        <f t="shared" si="3"/>
        <v>KERALA</v>
      </c>
      <c r="F763" s="3" t="str">
        <f t="shared" si="4"/>
        <v>KOCHI</v>
      </c>
      <c r="G763" s="1" t="s">
        <v>2340</v>
      </c>
      <c r="H763" s="3" t="str">
        <f t="shared" si="5"/>
        <v>ELECTRONICS</v>
      </c>
      <c r="I763" s="3" t="str">
        <f t="shared" si="6"/>
        <v>WIRELESS EARBUDS</v>
      </c>
      <c r="J763" s="3">
        <f t="shared" si="7"/>
        <v>3</v>
      </c>
      <c r="K763" s="3">
        <f t="shared" si="8"/>
        <v>250</v>
      </c>
      <c r="L763" s="4">
        <f t="shared" si="9"/>
        <v>0.2</v>
      </c>
      <c r="M763" s="3">
        <f t="shared" si="10"/>
        <v>600</v>
      </c>
      <c r="N763" s="3">
        <f t="shared" si="11"/>
        <v>420</v>
      </c>
      <c r="O763" s="3">
        <f t="shared" si="12"/>
        <v>180</v>
      </c>
      <c r="P763" s="3" t="str">
        <f t="shared" si="13"/>
        <v>CARD</v>
      </c>
      <c r="Q763" s="3" t="str">
        <f t="shared" si="14"/>
        <v>SHIPPED</v>
      </c>
    </row>
    <row r="764">
      <c r="A764" s="1" t="s">
        <v>2341</v>
      </c>
      <c r="B764" s="2">
        <f t="shared" si="1"/>
        <v>46349</v>
      </c>
      <c r="C764" s="1" t="s">
        <v>2342</v>
      </c>
      <c r="D764" s="3" t="str">
        <f t="shared" si="2"/>
        <v>SOBI</v>
      </c>
      <c r="E764" s="3" t="str">
        <f t="shared" si="3"/>
        <v>KARNATAKA</v>
      </c>
      <c r="F764" s="3" t="str">
        <f t="shared" si="4"/>
        <v>BANGALURU</v>
      </c>
      <c r="G764" s="1" t="s">
        <v>2343</v>
      </c>
      <c r="H764" s="3" t="str">
        <f t="shared" si="5"/>
        <v>SPORTS</v>
      </c>
      <c r="I764" s="3" t="str">
        <f t="shared" si="6"/>
        <v>FOOTBALL</v>
      </c>
      <c r="J764" s="3">
        <f t="shared" si="7"/>
        <v>4</v>
      </c>
      <c r="K764" s="3">
        <f t="shared" si="8"/>
        <v>296</v>
      </c>
      <c r="L764" s="4">
        <f t="shared" si="9"/>
        <v>0</v>
      </c>
      <c r="M764" s="3">
        <f t="shared" si="10"/>
        <v>1184</v>
      </c>
      <c r="N764" s="3">
        <f t="shared" si="11"/>
        <v>829</v>
      </c>
      <c r="O764" s="3">
        <f t="shared" si="12"/>
        <v>355</v>
      </c>
      <c r="P764" s="3" t="str">
        <f t="shared" si="13"/>
        <v>COD</v>
      </c>
      <c r="Q764" s="3" t="str">
        <f t="shared" si="14"/>
        <v>CANCELLED</v>
      </c>
    </row>
    <row r="765">
      <c r="A765" s="1" t="s">
        <v>2344</v>
      </c>
      <c r="B765" s="2">
        <f t="shared" si="1"/>
        <v>46372</v>
      </c>
      <c r="C765" s="1" t="s">
        <v>2345</v>
      </c>
      <c r="D765" s="3" t="str">
        <f t="shared" si="2"/>
        <v>SUJI</v>
      </c>
      <c r="E765" s="3" t="str">
        <f t="shared" si="3"/>
        <v>ANDHRA PRADESH</v>
      </c>
      <c r="F765" s="3" t="str">
        <f t="shared" si="4"/>
        <v>TIRUPATI</v>
      </c>
      <c r="G765" s="1" t="s">
        <v>2346</v>
      </c>
      <c r="H765" s="3" t="str">
        <f t="shared" si="5"/>
        <v>FOOD</v>
      </c>
      <c r="I765" s="3" t="str">
        <f t="shared" si="6"/>
        <v>BIRIYANI</v>
      </c>
      <c r="J765" s="3">
        <f t="shared" si="7"/>
        <v>4</v>
      </c>
      <c r="K765" s="3">
        <f t="shared" si="8"/>
        <v>334</v>
      </c>
      <c r="L765" s="4">
        <f t="shared" si="9"/>
        <v>0.15</v>
      </c>
      <c r="M765" s="3">
        <f t="shared" si="10"/>
        <v>1135.6</v>
      </c>
      <c r="N765" s="3">
        <f t="shared" si="11"/>
        <v>795</v>
      </c>
      <c r="O765" s="3">
        <f t="shared" si="12"/>
        <v>341</v>
      </c>
      <c r="P765" s="3" t="str">
        <f t="shared" si="13"/>
        <v>NET BANKING</v>
      </c>
      <c r="Q765" s="3" t="str">
        <f t="shared" si="14"/>
        <v>RETURNED</v>
      </c>
    </row>
    <row r="766">
      <c r="A766" s="1" t="s">
        <v>2347</v>
      </c>
      <c r="B766" s="2">
        <f t="shared" si="1"/>
        <v>46387</v>
      </c>
      <c r="C766" s="1" t="s">
        <v>2348</v>
      </c>
      <c r="D766" s="3" t="str">
        <f t="shared" si="2"/>
        <v>RATHA</v>
      </c>
      <c r="E766" s="3" t="str">
        <f t="shared" si="3"/>
        <v>TELUGANA</v>
      </c>
      <c r="F766" s="3" t="str">
        <f t="shared" si="4"/>
        <v>HYDERABAD</v>
      </c>
      <c r="G766" s="1" t="s">
        <v>2349</v>
      </c>
      <c r="H766" s="3" t="str">
        <f t="shared" si="5"/>
        <v>DRESS</v>
      </c>
      <c r="I766" s="3" t="str">
        <f t="shared" si="6"/>
        <v>WOMEN WAERS</v>
      </c>
      <c r="J766" s="3">
        <f t="shared" si="7"/>
        <v>2</v>
      </c>
      <c r="K766" s="3">
        <f t="shared" si="8"/>
        <v>494</v>
      </c>
      <c r="L766" s="4">
        <f t="shared" si="9"/>
        <v>0.17</v>
      </c>
      <c r="M766" s="3">
        <f t="shared" si="10"/>
        <v>820.04</v>
      </c>
      <c r="N766" s="3">
        <f t="shared" si="11"/>
        <v>574</v>
      </c>
      <c r="O766" s="3">
        <f t="shared" si="12"/>
        <v>246</v>
      </c>
      <c r="P766" s="3" t="str">
        <f t="shared" si="13"/>
        <v>WALLET</v>
      </c>
      <c r="Q766" s="3" t="str">
        <f t="shared" si="14"/>
        <v>DELIVERED</v>
      </c>
    </row>
    <row r="767">
      <c r="A767" s="1" t="s">
        <v>2350</v>
      </c>
      <c r="B767" s="2">
        <f t="shared" si="1"/>
        <v>46336</v>
      </c>
      <c r="C767" s="1" t="s">
        <v>2351</v>
      </c>
      <c r="D767" s="3" t="str">
        <f t="shared" si="2"/>
        <v>SUSA</v>
      </c>
      <c r="E767" s="3" t="str">
        <f t="shared" si="3"/>
        <v>UTTHRA PRADESH</v>
      </c>
      <c r="F767" s="3" t="str">
        <f t="shared" si="4"/>
        <v>LUCKNOW</v>
      </c>
      <c r="G767" s="1" t="s">
        <v>2352</v>
      </c>
      <c r="H767" s="3" t="str">
        <f t="shared" si="5"/>
        <v>BEAUTY</v>
      </c>
      <c r="I767" s="3" t="str">
        <f t="shared" si="6"/>
        <v>KAJAL</v>
      </c>
      <c r="J767" s="3">
        <f t="shared" si="7"/>
        <v>3</v>
      </c>
      <c r="K767" s="3">
        <f t="shared" si="8"/>
        <v>447</v>
      </c>
      <c r="L767" s="4">
        <f t="shared" si="9"/>
        <v>0.17</v>
      </c>
      <c r="M767" s="3">
        <f t="shared" si="10"/>
        <v>1113.03</v>
      </c>
      <c r="N767" s="3">
        <f t="shared" si="11"/>
        <v>779</v>
      </c>
      <c r="O767" s="3">
        <f t="shared" si="12"/>
        <v>334</v>
      </c>
      <c r="P767" s="3" t="str">
        <f t="shared" si="13"/>
        <v>UPI</v>
      </c>
      <c r="Q767" s="3" t="str">
        <f t="shared" si="14"/>
        <v>SHIPPED</v>
      </c>
    </row>
    <row r="768">
      <c r="A768" s="1" t="s">
        <v>2353</v>
      </c>
      <c r="B768" s="2">
        <f t="shared" si="1"/>
        <v>46231</v>
      </c>
      <c r="C768" s="1" t="s">
        <v>2354</v>
      </c>
      <c r="D768" s="3" t="str">
        <f t="shared" si="2"/>
        <v>NIVE</v>
      </c>
      <c r="E768" s="3" t="str">
        <f t="shared" si="3"/>
        <v>GUJARAT</v>
      </c>
      <c r="F768" s="3" t="str">
        <f t="shared" si="4"/>
        <v>SURAT</v>
      </c>
      <c r="G768" s="1" t="s">
        <v>2355</v>
      </c>
      <c r="H768" s="3" t="str">
        <f t="shared" si="5"/>
        <v>HOME &amp; KITCHEN</v>
      </c>
      <c r="I768" s="3" t="str">
        <f t="shared" si="6"/>
        <v>MIXER GRAINDER</v>
      </c>
      <c r="J768" s="3">
        <f t="shared" si="7"/>
        <v>2</v>
      </c>
      <c r="K768" s="3">
        <f t="shared" si="8"/>
        <v>407</v>
      </c>
      <c r="L768" s="4">
        <f t="shared" si="9"/>
        <v>0.1</v>
      </c>
      <c r="M768" s="3">
        <f t="shared" si="10"/>
        <v>732.6</v>
      </c>
      <c r="N768" s="3">
        <f t="shared" si="11"/>
        <v>513</v>
      </c>
      <c r="O768" s="3">
        <f t="shared" si="12"/>
        <v>220</v>
      </c>
      <c r="P768" s="3" t="str">
        <f t="shared" si="13"/>
        <v>CARD</v>
      </c>
      <c r="Q768" s="3" t="str">
        <f t="shared" si="14"/>
        <v>CANCELLED</v>
      </c>
    </row>
    <row r="769">
      <c r="A769" s="1" t="s">
        <v>2356</v>
      </c>
      <c r="B769" s="2">
        <f t="shared" si="1"/>
        <v>46157</v>
      </c>
      <c r="C769" s="1" t="s">
        <v>2357</v>
      </c>
      <c r="D769" s="3" t="str">
        <f t="shared" si="2"/>
        <v>VINO</v>
      </c>
      <c r="E769" s="3" t="str">
        <f t="shared" si="3"/>
        <v>RAJASTHAN</v>
      </c>
      <c r="F769" s="3" t="str">
        <f t="shared" si="4"/>
        <v>JAIPUR</v>
      </c>
      <c r="G769" s="1" t="s">
        <v>2358</v>
      </c>
      <c r="H769" s="3" t="str">
        <f t="shared" si="5"/>
        <v>BOOKS</v>
      </c>
      <c r="I769" s="3" t="str">
        <f t="shared" si="6"/>
        <v>LIFE OF PI</v>
      </c>
      <c r="J769" s="3">
        <f t="shared" si="7"/>
        <v>3</v>
      </c>
      <c r="K769" s="3">
        <f t="shared" si="8"/>
        <v>395</v>
      </c>
      <c r="L769" s="4">
        <f t="shared" si="9"/>
        <v>0.17</v>
      </c>
      <c r="M769" s="3">
        <f t="shared" si="10"/>
        <v>983.55</v>
      </c>
      <c r="N769" s="3">
        <f t="shared" si="11"/>
        <v>688</v>
      </c>
      <c r="O769" s="3">
        <f t="shared" si="12"/>
        <v>296</v>
      </c>
      <c r="P769" s="3" t="str">
        <f t="shared" si="13"/>
        <v>COD</v>
      </c>
      <c r="Q769" s="3" t="str">
        <f t="shared" si="14"/>
        <v>RETURNED</v>
      </c>
    </row>
    <row r="770">
      <c r="A770" s="1" t="s">
        <v>2359</v>
      </c>
      <c r="B770" s="2">
        <f t="shared" si="1"/>
        <v>46037</v>
      </c>
      <c r="C770" s="1" t="s">
        <v>2360</v>
      </c>
      <c r="D770" s="3" t="str">
        <f t="shared" si="2"/>
        <v>ABI</v>
      </c>
      <c r="E770" s="3" t="str">
        <f t="shared" si="3"/>
        <v>WEST BENGAL</v>
      </c>
      <c r="F770" s="3" t="str">
        <f t="shared" si="4"/>
        <v>KOLKATA</v>
      </c>
      <c r="G770" s="1" t="s">
        <v>2361</v>
      </c>
      <c r="H770" s="3" t="str">
        <f t="shared" si="5"/>
        <v>ACCESSORIES</v>
      </c>
      <c r="I770" s="3" t="str">
        <f t="shared" si="6"/>
        <v>EARRINGS</v>
      </c>
      <c r="J770" s="3">
        <f t="shared" si="7"/>
        <v>4</v>
      </c>
      <c r="K770" s="3">
        <f t="shared" si="8"/>
        <v>371</v>
      </c>
      <c r="L770" s="4">
        <f t="shared" si="9"/>
        <v>0.1</v>
      </c>
      <c r="M770" s="3">
        <f t="shared" si="10"/>
        <v>1335.6</v>
      </c>
      <c r="N770" s="3">
        <f t="shared" si="11"/>
        <v>935</v>
      </c>
      <c r="O770" s="3">
        <f t="shared" si="12"/>
        <v>401</v>
      </c>
      <c r="P770" s="3" t="str">
        <f t="shared" si="13"/>
        <v>NET BANKING</v>
      </c>
      <c r="Q770" s="3" t="str">
        <f t="shared" si="14"/>
        <v>DELIVERED</v>
      </c>
    </row>
    <row r="771">
      <c r="A771" s="1" t="s">
        <v>2362</v>
      </c>
      <c r="B771" s="2">
        <f t="shared" si="1"/>
        <v>46111</v>
      </c>
      <c r="C771" s="1" t="s">
        <v>2363</v>
      </c>
      <c r="D771" s="3" t="str">
        <f t="shared" si="2"/>
        <v>NIHAAR</v>
      </c>
      <c r="E771" s="3" t="str">
        <f t="shared" si="3"/>
        <v>MAGARASTRA</v>
      </c>
      <c r="F771" s="3" t="str">
        <f t="shared" si="4"/>
        <v>PUNE</v>
      </c>
      <c r="G771" s="1" t="s">
        <v>2364</v>
      </c>
      <c r="H771" s="3" t="str">
        <f t="shared" si="5"/>
        <v>ELECTRONICS</v>
      </c>
      <c r="I771" s="3" t="str">
        <f t="shared" si="6"/>
        <v>WIRELESS EARBUDS</v>
      </c>
      <c r="J771" s="3">
        <f t="shared" si="7"/>
        <v>3</v>
      </c>
      <c r="K771" s="3">
        <f t="shared" si="8"/>
        <v>216</v>
      </c>
      <c r="L771" s="4">
        <f t="shared" si="9"/>
        <v>0.1</v>
      </c>
      <c r="M771" s="3">
        <f t="shared" si="10"/>
        <v>583.2</v>
      </c>
      <c r="N771" s="3">
        <f t="shared" si="11"/>
        <v>408</v>
      </c>
      <c r="O771" s="3">
        <f t="shared" si="12"/>
        <v>175</v>
      </c>
      <c r="P771" s="3" t="str">
        <f t="shared" si="13"/>
        <v>WALLET</v>
      </c>
      <c r="Q771" s="3" t="str">
        <f t="shared" si="14"/>
        <v>SHIPPED</v>
      </c>
    </row>
    <row r="772">
      <c r="A772" s="1" t="s">
        <v>2365</v>
      </c>
      <c r="B772" s="2">
        <f t="shared" si="1"/>
        <v>46340</v>
      </c>
      <c r="C772" s="1" t="s">
        <v>2366</v>
      </c>
      <c r="D772" s="3" t="str">
        <f t="shared" si="2"/>
        <v>SRI</v>
      </c>
      <c r="E772" s="3" t="str">
        <f t="shared" si="3"/>
        <v>TAMILNADU</v>
      </c>
      <c r="F772" s="3" t="str">
        <f t="shared" si="4"/>
        <v>THOOTHUKUDI</v>
      </c>
      <c r="G772" s="1" t="s">
        <v>2367</v>
      </c>
      <c r="H772" s="3" t="str">
        <f t="shared" si="5"/>
        <v>SPORTS</v>
      </c>
      <c r="I772" s="3" t="str">
        <f t="shared" si="6"/>
        <v>FOOTBALL</v>
      </c>
      <c r="J772" s="3">
        <f t="shared" si="7"/>
        <v>3</v>
      </c>
      <c r="K772" s="3">
        <f t="shared" si="8"/>
        <v>448</v>
      </c>
      <c r="L772" s="4">
        <f t="shared" si="9"/>
        <v>0</v>
      </c>
      <c r="M772" s="3">
        <f t="shared" si="10"/>
        <v>1344</v>
      </c>
      <c r="N772" s="3">
        <f t="shared" si="11"/>
        <v>941</v>
      </c>
      <c r="O772" s="3">
        <f t="shared" si="12"/>
        <v>403</v>
      </c>
      <c r="P772" s="3" t="str">
        <f t="shared" si="13"/>
        <v>UPI</v>
      </c>
      <c r="Q772" s="3" t="str">
        <f t="shared" si="14"/>
        <v>CANCELLED</v>
      </c>
    </row>
    <row r="773">
      <c r="A773" s="1" t="s">
        <v>2368</v>
      </c>
      <c r="B773" s="2">
        <f t="shared" si="1"/>
        <v>46253</v>
      </c>
      <c r="C773" s="1" t="s">
        <v>2369</v>
      </c>
      <c r="D773" s="3" t="str">
        <f t="shared" si="2"/>
        <v>SHOBN</v>
      </c>
      <c r="E773" s="3" t="str">
        <f t="shared" si="3"/>
        <v>KERALA</v>
      </c>
      <c r="F773" s="3" t="str">
        <f t="shared" si="4"/>
        <v>KOCHI</v>
      </c>
      <c r="G773" s="1" t="s">
        <v>2370</v>
      </c>
      <c r="H773" s="3" t="str">
        <f t="shared" si="5"/>
        <v>FOOD</v>
      </c>
      <c r="I773" s="3" t="str">
        <f t="shared" si="6"/>
        <v>BIRIYANI</v>
      </c>
      <c r="J773" s="3">
        <f t="shared" si="7"/>
        <v>2</v>
      </c>
      <c r="K773" s="3">
        <f t="shared" si="8"/>
        <v>444</v>
      </c>
      <c r="L773" s="4">
        <f t="shared" si="9"/>
        <v>0.2</v>
      </c>
      <c r="M773" s="3">
        <f t="shared" si="10"/>
        <v>710.4</v>
      </c>
      <c r="N773" s="3">
        <f t="shared" si="11"/>
        <v>497</v>
      </c>
      <c r="O773" s="3">
        <f t="shared" si="12"/>
        <v>213</v>
      </c>
      <c r="P773" s="3" t="str">
        <f t="shared" si="13"/>
        <v>CARD</v>
      </c>
      <c r="Q773" s="3" t="str">
        <f t="shared" si="14"/>
        <v>RETURNED</v>
      </c>
    </row>
    <row r="774">
      <c r="A774" s="1" t="s">
        <v>2371</v>
      </c>
      <c r="B774" s="2">
        <f t="shared" si="1"/>
        <v>46168</v>
      </c>
      <c r="C774" s="1" t="s">
        <v>2372</v>
      </c>
      <c r="D774" s="3" t="str">
        <f t="shared" si="2"/>
        <v>SOBI</v>
      </c>
      <c r="E774" s="3" t="str">
        <f t="shared" si="3"/>
        <v>KARNATAKA</v>
      </c>
      <c r="F774" s="3" t="str">
        <f t="shared" si="4"/>
        <v>BANGALURU</v>
      </c>
      <c r="G774" s="1" t="s">
        <v>2373</v>
      </c>
      <c r="H774" s="3" t="str">
        <f t="shared" si="5"/>
        <v>DRESS</v>
      </c>
      <c r="I774" s="3" t="str">
        <f t="shared" si="6"/>
        <v>WOMEN WAERS</v>
      </c>
      <c r="J774" s="3">
        <f t="shared" si="7"/>
        <v>1</v>
      </c>
      <c r="K774" s="3">
        <f t="shared" si="8"/>
        <v>535</v>
      </c>
      <c r="L774" s="4">
        <f t="shared" si="9"/>
        <v>0</v>
      </c>
      <c r="M774" s="3">
        <f t="shared" si="10"/>
        <v>535</v>
      </c>
      <c r="N774" s="3">
        <f t="shared" si="11"/>
        <v>375</v>
      </c>
      <c r="O774" s="3">
        <f t="shared" si="12"/>
        <v>160</v>
      </c>
      <c r="P774" s="3" t="str">
        <f t="shared" si="13"/>
        <v>COD</v>
      </c>
      <c r="Q774" s="3" t="str">
        <f t="shared" si="14"/>
        <v>DELIVERED</v>
      </c>
    </row>
    <row r="775">
      <c r="A775" s="1" t="s">
        <v>2374</v>
      </c>
      <c r="B775" s="2">
        <f t="shared" si="1"/>
        <v>46352</v>
      </c>
      <c r="C775" s="1" t="s">
        <v>2375</v>
      </c>
      <c r="D775" s="3" t="str">
        <f t="shared" si="2"/>
        <v>SUJI</v>
      </c>
      <c r="E775" s="3" t="str">
        <f t="shared" si="3"/>
        <v>ANDHRA PRADESH</v>
      </c>
      <c r="F775" s="3" t="str">
        <f t="shared" si="4"/>
        <v>TIRUPATI</v>
      </c>
      <c r="G775" s="1" t="s">
        <v>2376</v>
      </c>
      <c r="H775" s="3" t="str">
        <f t="shared" si="5"/>
        <v>BEAUTY</v>
      </c>
      <c r="I775" s="3" t="str">
        <f t="shared" si="6"/>
        <v>KAJAL</v>
      </c>
      <c r="J775" s="3">
        <f t="shared" si="7"/>
        <v>5</v>
      </c>
      <c r="K775" s="3">
        <f t="shared" si="8"/>
        <v>355</v>
      </c>
      <c r="L775" s="4">
        <f t="shared" si="9"/>
        <v>0.2</v>
      </c>
      <c r="M775" s="3">
        <f t="shared" si="10"/>
        <v>1420</v>
      </c>
      <c r="N775" s="3">
        <f t="shared" si="11"/>
        <v>994</v>
      </c>
      <c r="O775" s="3">
        <f t="shared" si="12"/>
        <v>426</v>
      </c>
      <c r="P775" s="3" t="str">
        <f t="shared" si="13"/>
        <v>NET BANKING</v>
      </c>
      <c r="Q775" s="3" t="str">
        <f t="shared" si="14"/>
        <v>SHIPPED</v>
      </c>
    </row>
    <row r="776">
      <c r="A776" s="1" t="s">
        <v>2377</v>
      </c>
      <c r="B776" s="2">
        <f t="shared" si="1"/>
        <v>46309</v>
      </c>
      <c r="C776" s="1" t="s">
        <v>2378</v>
      </c>
      <c r="D776" s="3" t="str">
        <f t="shared" si="2"/>
        <v>RATHA</v>
      </c>
      <c r="E776" s="3" t="str">
        <f t="shared" si="3"/>
        <v>TELUGANA</v>
      </c>
      <c r="F776" s="3" t="str">
        <f t="shared" si="4"/>
        <v>HYDERABAD</v>
      </c>
      <c r="G776" s="1" t="s">
        <v>2379</v>
      </c>
      <c r="H776" s="3" t="str">
        <f t="shared" si="5"/>
        <v>HOME &amp; KITCHEN</v>
      </c>
      <c r="I776" s="3" t="str">
        <f t="shared" si="6"/>
        <v>MIXER GRAINDER</v>
      </c>
      <c r="J776" s="3">
        <f t="shared" si="7"/>
        <v>3</v>
      </c>
      <c r="K776" s="3">
        <f t="shared" si="8"/>
        <v>287</v>
      </c>
      <c r="L776" s="4">
        <f t="shared" si="9"/>
        <v>0.5</v>
      </c>
      <c r="M776" s="3">
        <f t="shared" si="10"/>
        <v>430.5</v>
      </c>
      <c r="N776" s="3">
        <f t="shared" si="11"/>
        <v>301</v>
      </c>
      <c r="O776" s="3">
        <f t="shared" si="12"/>
        <v>130</v>
      </c>
      <c r="P776" s="3" t="str">
        <f t="shared" si="13"/>
        <v>WALLET</v>
      </c>
      <c r="Q776" s="3" t="str">
        <f t="shared" si="14"/>
        <v>CANCELLED</v>
      </c>
    </row>
    <row r="777">
      <c r="A777" s="1" t="s">
        <v>2380</v>
      </c>
      <c r="B777" s="2">
        <f t="shared" si="1"/>
        <v>46233</v>
      </c>
      <c r="C777" s="1" t="s">
        <v>2381</v>
      </c>
      <c r="D777" s="3" t="str">
        <f t="shared" si="2"/>
        <v>SUSA</v>
      </c>
      <c r="E777" s="3" t="str">
        <f t="shared" si="3"/>
        <v>UTTHRA PRADESH</v>
      </c>
      <c r="F777" s="3" t="str">
        <f t="shared" si="4"/>
        <v>LUCKNOW</v>
      </c>
      <c r="G777" s="1" t="s">
        <v>2382</v>
      </c>
      <c r="H777" s="3" t="str">
        <f t="shared" si="5"/>
        <v>BOOKS</v>
      </c>
      <c r="I777" s="3" t="str">
        <f t="shared" si="6"/>
        <v>LIFE OF PI</v>
      </c>
      <c r="J777" s="3">
        <f t="shared" si="7"/>
        <v>2</v>
      </c>
      <c r="K777" s="3">
        <f t="shared" si="8"/>
        <v>271</v>
      </c>
      <c r="L777" s="4">
        <f t="shared" si="9"/>
        <v>0.17</v>
      </c>
      <c r="M777" s="3">
        <f t="shared" si="10"/>
        <v>449.86</v>
      </c>
      <c r="N777" s="3">
        <f t="shared" si="11"/>
        <v>315</v>
      </c>
      <c r="O777" s="3">
        <f t="shared" si="12"/>
        <v>135</v>
      </c>
      <c r="P777" s="3" t="str">
        <f t="shared" si="13"/>
        <v>UPI</v>
      </c>
      <c r="Q777" s="3" t="str">
        <f t="shared" si="14"/>
        <v>RETURNED</v>
      </c>
    </row>
    <row r="778">
      <c r="A778" s="1" t="s">
        <v>2383</v>
      </c>
      <c r="B778" s="2">
        <f t="shared" si="1"/>
        <v>46167</v>
      </c>
      <c r="C778" s="1" t="s">
        <v>2384</v>
      </c>
      <c r="D778" s="3" t="str">
        <f t="shared" si="2"/>
        <v>NIVE</v>
      </c>
      <c r="E778" s="3" t="str">
        <f t="shared" si="3"/>
        <v>GUJARAT</v>
      </c>
      <c r="F778" s="3" t="str">
        <f t="shared" si="4"/>
        <v>SURAT</v>
      </c>
      <c r="G778" s="1" t="s">
        <v>2385</v>
      </c>
      <c r="H778" s="3" t="str">
        <f t="shared" si="5"/>
        <v>ACCESSORIES</v>
      </c>
      <c r="I778" s="3" t="str">
        <f t="shared" si="6"/>
        <v>EARRINGS</v>
      </c>
      <c r="J778" s="3">
        <f t="shared" si="7"/>
        <v>2</v>
      </c>
      <c r="K778" s="3">
        <f t="shared" si="8"/>
        <v>357</v>
      </c>
      <c r="L778" s="4">
        <f t="shared" si="9"/>
        <v>0.1</v>
      </c>
      <c r="M778" s="3">
        <f t="shared" si="10"/>
        <v>642.6</v>
      </c>
      <c r="N778" s="3">
        <f t="shared" si="11"/>
        <v>450</v>
      </c>
      <c r="O778" s="3">
        <f t="shared" si="12"/>
        <v>193</v>
      </c>
      <c r="P778" s="3" t="str">
        <f t="shared" si="13"/>
        <v>CARD</v>
      </c>
      <c r="Q778" s="3" t="str">
        <f t="shared" si="14"/>
        <v>DELIVERED</v>
      </c>
    </row>
    <row r="779">
      <c r="A779" s="1" t="s">
        <v>2386</v>
      </c>
      <c r="B779" s="2">
        <f t="shared" si="1"/>
        <v>46290</v>
      </c>
      <c r="C779" s="1" t="s">
        <v>2387</v>
      </c>
      <c r="D779" s="3" t="str">
        <f t="shared" si="2"/>
        <v>VINO</v>
      </c>
      <c r="E779" s="3" t="str">
        <f t="shared" si="3"/>
        <v>RAJASTHAN</v>
      </c>
      <c r="F779" s="3" t="str">
        <f t="shared" si="4"/>
        <v>JAIPUR</v>
      </c>
      <c r="G779" s="1" t="s">
        <v>2388</v>
      </c>
      <c r="H779" s="3" t="str">
        <f t="shared" si="5"/>
        <v>ELECTRONICS</v>
      </c>
      <c r="I779" s="3" t="str">
        <f t="shared" si="6"/>
        <v>WIRELESS EARBUDS</v>
      </c>
      <c r="J779" s="3">
        <f t="shared" si="7"/>
        <v>5</v>
      </c>
      <c r="K779" s="3">
        <f t="shared" si="8"/>
        <v>492</v>
      </c>
      <c r="L779" s="4">
        <f t="shared" si="9"/>
        <v>0.2</v>
      </c>
      <c r="M779" s="3">
        <f t="shared" si="10"/>
        <v>1968</v>
      </c>
      <c r="N779" s="3">
        <f t="shared" si="11"/>
        <v>1378</v>
      </c>
      <c r="O779" s="3">
        <f t="shared" si="12"/>
        <v>590</v>
      </c>
      <c r="P779" s="3" t="str">
        <f t="shared" si="13"/>
        <v>COD</v>
      </c>
      <c r="Q779" s="3" t="str">
        <f t="shared" si="14"/>
        <v>SHIPPED</v>
      </c>
    </row>
    <row r="780">
      <c r="A780" s="1" t="s">
        <v>2389</v>
      </c>
      <c r="B780" s="2">
        <f t="shared" si="1"/>
        <v>46034</v>
      </c>
      <c r="C780" s="1" t="s">
        <v>2390</v>
      </c>
      <c r="D780" s="3" t="str">
        <f t="shared" si="2"/>
        <v>ABI</v>
      </c>
      <c r="E780" s="3" t="str">
        <f t="shared" si="3"/>
        <v>WEST BENGAL</v>
      </c>
      <c r="F780" s="3" t="str">
        <f t="shared" si="4"/>
        <v>KOLKATA</v>
      </c>
      <c r="G780" s="1" t="s">
        <v>2391</v>
      </c>
      <c r="H780" s="3" t="str">
        <f t="shared" si="5"/>
        <v>SPORTS</v>
      </c>
      <c r="I780" s="3" t="str">
        <f t="shared" si="6"/>
        <v>FOOTBALL</v>
      </c>
      <c r="J780" s="3">
        <f t="shared" si="7"/>
        <v>2</v>
      </c>
      <c r="K780" s="3">
        <f t="shared" si="8"/>
        <v>265</v>
      </c>
      <c r="L780" s="4">
        <f t="shared" si="9"/>
        <v>0.2</v>
      </c>
      <c r="M780" s="3">
        <f t="shared" si="10"/>
        <v>424</v>
      </c>
      <c r="N780" s="3">
        <f t="shared" si="11"/>
        <v>297</v>
      </c>
      <c r="O780" s="3">
        <f t="shared" si="12"/>
        <v>127</v>
      </c>
      <c r="P780" s="3" t="str">
        <f t="shared" si="13"/>
        <v>NET BANKING</v>
      </c>
      <c r="Q780" s="3" t="str">
        <f t="shared" si="14"/>
        <v>CANCELLED</v>
      </c>
    </row>
    <row r="781">
      <c r="A781" s="1" t="s">
        <v>2392</v>
      </c>
      <c r="B781" s="2">
        <f t="shared" si="1"/>
        <v>46359</v>
      </c>
      <c r="C781" s="1" t="s">
        <v>2393</v>
      </c>
      <c r="D781" s="3" t="str">
        <f t="shared" si="2"/>
        <v>NIHAAR</v>
      </c>
      <c r="E781" s="3" t="str">
        <f t="shared" si="3"/>
        <v>MAGARASTRA</v>
      </c>
      <c r="F781" s="3" t="str">
        <f t="shared" si="4"/>
        <v>PUNE</v>
      </c>
      <c r="G781" s="1" t="s">
        <v>2394</v>
      </c>
      <c r="H781" s="3" t="str">
        <f t="shared" si="5"/>
        <v>FOOD</v>
      </c>
      <c r="I781" s="3" t="str">
        <f t="shared" si="6"/>
        <v>BIRIYANI</v>
      </c>
      <c r="J781" s="3">
        <f t="shared" si="7"/>
        <v>2</v>
      </c>
      <c r="K781" s="3">
        <f t="shared" si="8"/>
        <v>350</v>
      </c>
      <c r="L781" s="4">
        <f t="shared" si="9"/>
        <v>0.17</v>
      </c>
      <c r="M781" s="3">
        <f t="shared" si="10"/>
        <v>581</v>
      </c>
      <c r="N781" s="3">
        <f t="shared" si="11"/>
        <v>407</v>
      </c>
      <c r="O781" s="3">
        <f t="shared" si="12"/>
        <v>174</v>
      </c>
      <c r="P781" s="3" t="str">
        <f t="shared" si="13"/>
        <v>WALLET</v>
      </c>
      <c r="Q781" s="3" t="str">
        <f t="shared" si="14"/>
        <v>RETURNED</v>
      </c>
    </row>
    <row r="782">
      <c r="A782" s="1" t="s">
        <v>2395</v>
      </c>
      <c r="B782" s="2">
        <f t="shared" si="1"/>
        <v>46192</v>
      </c>
      <c r="C782" s="1" t="s">
        <v>2396</v>
      </c>
      <c r="D782" s="3" t="str">
        <f t="shared" si="2"/>
        <v>SRI</v>
      </c>
      <c r="E782" s="3" t="str">
        <f t="shared" si="3"/>
        <v>TAMILNADU</v>
      </c>
      <c r="F782" s="3" t="str">
        <f t="shared" si="4"/>
        <v>THOOTHUKUDI</v>
      </c>
      <c r="G782" s="1" t="s">
        <v>2397</v>
      </c>
      <c r="H782" s="3" t="str">
        <f t="shared" si="5"/>
        <v>DRESS</v>
      </c>
      <c r="I782" s="3" t="str">
        <f t="shared" si="6"/>
        <v>WOMEN WAERS</v>
      </c>
      <c r="J782" s="3">
        <f t="shared" si="7"/>
        <v>4</v>
      </c>
      <c r="K782" s="3">
        <f t="shared" si="8"/>
        <v>242</v>
      </c>
      <c r="L782" s="4">
        <f t="shared" si="9"/>
        <v>0.17</v>
      </c>
      <c r="M782" s="3">
        <f t="shared" si="10"/>
        <v>803.44</v>
      </c>
      <c r="N782" s="3">
        <f t="shared" si="11"/>
        <v>562</v>
      </c>
      <c r="O782" s="3">
        <f t="shared" si="12"/>
        <v>241</v>
      </c>
      <c r="P782" s="3" t="str">
        <f t="shared" si="13"/>
        <v>UPI</v>
      </c>
      <c r="Q782" s="3" t="str">
        <f t="shared" si="14"/>
        <v>DELIVERED</v>
      </c>
    </row>
    <row r="783">
      <c r="A783" s="1" t="s">
        <v>2398</v>
      </c>
      <c r="B783" s="2">
        <f t="shared" si="1"/>
        <v>46154</v>
      </c>
      <c r="C783" s="1" t="s">
        <v>2399</v>
      </c>
      <c r="D783" s="3" t="str">
        <f t="shared" si="2"/>
        <v>SHOBN</v>
      </c>
      <c r="E783" s="3" t="str">
        <f t="shared" si="3"/>
        <v>KERALA</v>
      </c>
      <c r="F783" s="3" t="str">
        <f t="shared" si="4"/>
        <v>KOCHI</v>
      </c>
      <c r="G783" s="1" t="s">
        <v>2400</v>
      </c>
      <c r="H783" s="3" t="str">
        <f t="shared" si="5"/>
        <v>BEAUTY</v>
      </c>
      <c r="I783" s="3" t="str">
        <f t="shared" si="6"/>
        <v>KAJAL</v>
      </c>
      <c r="J783" s="3">
        <f t="shared" si="7"/>
        <v>2</v>
      </c>
      <c r="K783" s="3">
        <f t="shared" si="8"/>
        <v>229</v>
      </c>
      <c r="L783" s="4">
        <f t="shared" si="9"/>
        <v>0</v>
      </c>
      <c r="M783" s="3">
        <f t="shared" si="10"/>
        <v>458</v>
      </c>
      <c r="N783" s="3">
        <f t="shared" si="11"/>
        <v>321</v>
      </c>
      <c r="O783" s="3">
        <f t="shared" si="12"/>
        <v>137</v>
      </c>
      <c r="P783" s="3" t="str">
        <f t="shared" si="13"/>
        <v>CARD</v>
      </c>
      <c r="Q783" s="3" t="str">
        <f t="shared" si="14"/>
        <v>SHIPPED</v>
      </c>
    </row>
    <row r="784">
      <c r="A784" s="1" t="s">
        <v>2401</v>
      </c>
      <c r="B784" s="2">
        <f t="shared" si="1"/>
        <v>46204</v>
      </c>
      <c r="C784" s="1" t="s">
        <v>2402</v>
      </c>
      <c r="D784" s="3" t="str">
        <f t="shared" si="2"/>
        <v>SOBI</v>
      </c>
      <c r="E784" s="3" t="str">
        <f t="shared" si="3"/>
        <v>KARNATAKA</v>
      </c>
      <c r="F784" s="3" t="str">
        <f t="shared" si="4"/>
        <v>BANGALURU</v>
      </c>
      <c r="G784" s="1" t="s">
        <v>2403</v>
      </c>
      <c r="H784" s="3" t="str">
        <f t="shared" si="5"/>
        <v>HOME &amp; KITCHEN</v>
      </c>
      <c r="I784" s="3" t="str">
        <f t="shared" si="6"/>
        <v>MIXER GRAINDER</v>
      </c>
      <c r="J784" s="3">
        <f t="shared" si="7"/>
        <v>4</v>
      </c>
      <c r="K784" s="3">
        <f t="shared" si="8"/>
        <v>492</v>
      </c>
      <c r="L784" s="4">
        <f t="shared" si="9"/>
        <v>0.17</v>
      </c>
      <c r="M784" s="3">
        <f t="shared" si="10"/>
        <v>1633.44</v>
      </c>
      <c r="N784" s="3">
        <f t="shared" si="11"/>
        <v>1143</v>
      </c>
      <c r="O784" s="3">
        <f t="shared" si="12"/>
        <v>490</v>
      </c>
      <c r="P784" s="3" t="str">
        <f t="shared" si="13"/>
        <v>COD</v>
      </c>
      <c r="Q784" s="3" t="str">
        <f t="shared" si="14"/>
        <v>CANCELLED</v>
      </c>
    </row>
    <row r="785">
      <c r="A785" s="1" t="s">
        <v>2404</v>
      </c>
      <c r="B785" s="2">
        <f t="shared" si="1"/>
        <v>46080</v>
      </c>
      <c r="C785" s="1" t="s">
        <v>2405</v>
      </c>
      <c r="D785" s="3" t="str">
        <f t="shared" si="2"/>
        <v>SUJI</v>
      </c>
      <c r="E785" s="3" t="str">
        <f t="shared" si="3"/>
        <v>ANDHRA PRADESH</v>
      </c>
      <c r="F785" s="3" t="str">
        <f t="shared" si="4"/>
        <v>TIRUPATI</v>
      </c>
      <c r="G785" s="1" t="s">
        <v>2406</v>
      </c>
      <c r="H785" s="3" t="str">
        <f t="shared" si="5"/>
        <v>BOOKS</v>
      </c>
      <c r="I785" s="3" t="str">
        <f t="shared" si="6"/>
        <v>LIFE OF PI</v>
      </c>
      <c r="J785" s="3">
        <f t="shared" si="7"/>
        <v>2</v>
      </c>
      <c r="K785" s="3">
        <f t="shared" si="8"/>
        <v>169</v>
      </c>
      <c r="L785" s="4">
        <f t="shared" si="9"/>
        <v>0.5</v>
      </c>
      <c r="M785" s="3">
        <f t="shared" si="10"/>
        <v>169</v>
      </c>
      <c r="N785" s="3">
        <f t="shared" si="11"/>
        <v>118</v>
      </c>
      <c r="O785" s="3">
        <f t="shared" si="12"/>
        <v>51</v>
      </c>
      <c r="P785" s="3" t="str">
        <f t="shared" si="13"/>
        <v>NET BANKING</v>
      </c>
      <c r="Q785" s="3" t="str">
        <f t="shared" si="14"/>
        <v>RETURNED</v>
      </c>
    </row>
    <row r="786">
      <c r="A786" s="1" t="s">
        <v>2407</v>
      </c>
      <c r="B786" s="2">
        <f t="shared" si="1"/>
        <v>46126</v>
      </c>
      <c r="C786" s="1" t="s">
        <v>2408</v>
      </c>
      <c r="D786" s="3" t="str">
        <f t="shared" si="2"/>
        <v>RATHA</v>
      </c>
      <c r="E786" s="3" t="str">
        <f t="shared" si="3"/>
        <v>TELUGANA</v>
      </c>
      <c r="F786" s="3" t="str">
        <f t="shared" si="4"/>
        <v>HYDERABAD</v>
      </c>
      <c r="G786" s="1" t="s">
        <v>2409</v>
      </c>
      <c r="H786" s="3" t="str">
        <f t="shared" si="5"/>
        <v>ACCESSORIES</v>
      </c>
      <c r="I786" s="3" t="str">
        <f t="shared" si="6"/>
        <v>EARRINGS</v>
      </c>
      <c r="J786" s="3">
        <f t="shared" si="7"/>
        <v>5</v>
      </c>
      <c r="K786" s="3">
        <f t="shared" si="8"/>
        <v>154</v>
      </c>
      <c r="L786" s="4">
        <f t="shared" si="9"/>
        <v>0.5</v>
      </c>
      <c r="M786" s="3">
        <f t="shared" si="10"/>
        <v>385</v>
      </c>
      <c r="N786" s="3">
        <f t="shared" si="11"/>
        <v>270</v>
      </c>
      <c r="O786" s="3">
        <f t="shared" si="12"/>
        <v>115</v>
      </c>
      <c r="P786" s="3" t="str">
        <f t="shared" si="13"/>
        <v>WALLET</v>
      </c>
      <c r="Q786" s="3" t="str">
        <f t="shared" si="14"/>
        <v>DELIVERED</v>
      </c>
    </row>
    <row r="787">
      <c r="A787" s="1" t="s">
        <v>2410</v>
      </c>
      <c r="B787" s="2">
        <f t="shared" si="1"/>
        <v>46036</v>
      </c>
      <c r="C787" s="1" t="s">
        <v>2411</v>
      </c>
      <c r="D787" s="3" t="str">
        <f t="shared" si="2"/>
        <v>SUSA</v>
      </c>
      <c r="E787" s="3" t="str">
        <f t="shared" si="3"/>
        <v>UTTHRA PRADESH</v>
      </c>
      <c r="F787" s="3" t="str">
        <f t="shared" si="4"/>
        <v>LUCKNOW</v>
      </c>
      <c r="G787" s="1" t="s">
        <v>2412</v>
      </c>
      <c r="H787" s="3" t="str">
        <f t="shared" si="5"/>
        <v>ELECTRONICS</v>
      </c>
      <c r="I787" s="3" t="str">
        <f t="shared" si="6"/>
        <v>WIRELESS EARBUDS</v>
      </c>
      <c r="J787" s="3">
        <f t="shared" si="7"/>
        <v>3</v>
      </c>
      <c r="K787" s="3">
        <f t="shared" si="8"/>
        <v>281</v>
      </c>
      <c r="L787" s="4">
        <f t="shared" si="9"/>
        <v>0</v>
      </c>
      <c r="M787" s="3">
        <f t="shared" si="10"/>
        <v>843</v>
      </c>
      <c r="N787" s="3">
        <f t="shared" si="11"/>
        <v>590</v>
      </c>
      <c r="O787" s="3">
        <f t="shared" si="12"/>
        <v>253</v>
      </c>
      <c r="P787" s="3" t="str">
        <f t="shared" si="13"/>
        <v>UPI</v>
      </c>
      <c r="Q787" s="3" t="str">
        <f t="shared" si="14"/>
        <v>SHIPPED</v>
      </c>
    </row>
    <row r="788">
      <c r="A788" s="1" t="s">
        <v>2413</v>
      </c>
      <c r="B788" s="2">
        <f t="shared" si="1"/>
        <v>46223</v>
      </c>
      <c r="C788" s="1" t="s">
        <v>2414</v>
      </c>
      <c r="D788" s="3" t="str">
        <f t="shared" si="2"/>
        <v>NIVE</v>
      </c>
      <c r="E788" s="3" t="str">
        <f t="shared" si="3"/>
        <v>GUJARAT</v>
      </c>
      <c r="F788" s="3" t="str">
        <f t="shared" si="4"/>
        <v>SURAT</v>
      </c>
      <c r="G788" s="1" t="s">
        <v>2415</v>
      </c>
      <c r="H788" s="3" t="str">
        <f t="shared" si="5"/>
        <v>SPORTS</v>
      </c>
      <c r="I788" s="3" t="str">
        <f t="shared" si="6"/>
        <v>FOOTBALL</v>
      </c>
      <c r="J788" s="3">
        <f t="shared" si="7"/>
        <v>1</v>
      </c>
      <c r="K788" s="3">
        <f t="shared" si="8"/>
        <v>216</v>
      </c>
      <c r="L788" s="4">
        <f t="shared" si="9"/>
        <v>0.1</v>
      </c>
      <c r="M788" s="3">
        <f t="shared" si="10"/>
        <v>194.4</v>
      </c>
      <c r="N788" s="3">
        <f t="shared" si="11"/>
        <v>136</v>
      </c>
      <c r="O788" s="3">
        <f t="shared" si="12"/>
        <v>58</v>
      </c>
      <c r="P788" s="3" t="str">
        <f t="shared" si="13"/>
        <v>CARD</v>
      </c>
      <c r="Q788" s="3" t="str">
        <f t="shared" si="14"/>
        <v>CANCELLED</v>
      </c>
    </row>
    <row r="789">
      <c r="A789" s="1" t="s">
        <v>2416</v>
      </c>
      <c r="B789" s="2">
        <f t="shared" si="1"/>
        <v>46319</v>
      </c>
      <c r="C789" s="1" t="s">
        <v>2417</v>
      </c>
      <c r="D789" s="3" t="str">
        <f t="shared" si="2"/>
        <v>VINO</v>
      </c>
      <c r="E789" s="3" t="str">
        <f t="shared" si="3"/>
        <v>RAJASTHAN</v>
      </c>
      <c r="F789" s="3" t="str">
        <f t="shared" si="4"/>
        <v>JAIPUR</v>
      </c>
      <c r="G789" s="1" t="s">
        <v>2418</v>
      </c>
      <c r="H789" s="3" t="str">
        <f t="shared" si="5"/>
        <v>FOOD</v>
      </c>
      <c r="I789" s="3" t="str">
        <f t="shared" si="6"/>
        <v>BIRIYANI</v>
      </c>
      <c r="J789" s="3">
        <f t="shared" si="7"/>
        <v>3</v>
      </c>
      <c r="K789" s="3">
        <f t="shared" si="8"/>
        <v>145</v>
      </c>
      <c r="L789" s="4">
        <f t="shared" si="9"/>
        <v>0.2</v>
      </c>
      <c r="M789" s="3">
        <f t="shared" si="10"/>
        <v>348</v>
      </c>
      <c r="N789" s="3">
        <f t="shared" si="11"/>
        <v>244</v>
      </c>
      <c r="O789" s="3">
        <f t="shared" si="12"/>
        <v>104</v>
      </c>
      <c r="P789" s="3" t="str">
        <f t="shared" si="13"/>
        <v>COD</v>
      </c>
      <c r="Q789" s="3" t="str">
        <f t="shared" si="14"/>
        <v>RETURNED</v>
      </c>
    </row>
    <row r="790">
      <c r="A790" s="1" t="s">
        <v>2419</v>
      </c>
      <c r="B790" s="2">
        <f t="shared" si="1"/>
        <v>46054</v>
      </c>
      <c r="C790" s="1" t="s">
        <v>2420</v>
      </c>
      <c r="D790" s="3" t="str">
        <f t="shared" si="2"/>
        <v>ABI</v>
      </c>
      <c r="E790" s="3" t="str">
        <f t="shared" si="3"/>
        <v>WEST BENGAL</v>
      </c>
      <c r="F790" s="3" t="str">
        <f t="shared" si="4"/>
        <v>KOLKATA</v>
      </c>
      <c r="G790" s="1" t="s">
        <v>2421</v>
      </c>
      <c r="H790" s="3" t="str">
        <f t="shared" si="5"/>
        <v>DRESS</v>
      </c>
      <c r="I790" s="3" t="str">
        <f t="shared" si="6"/>
        <v>WOMEN WAERS</v>
      </c>
      <c r="J790" s="3">
        <f t="shared" si="7"/>
        <v>4</v>
      </c>
      <c r="K790" s="3">
        <f t="shared" si="8"/>
        <v>239</v>
      </c>
      <c r="L790" s="4">
        <f t="shared" si="9"/>
        <v>0.2</v>
      </c>
      <c r="M790" s="3">
        <f t="shared" si="10"/>
        <v>764.8</v>
      </c>
      <c r="N790" s="3">
        <f t="shared" si="11"/>
        <v>535</v>
      </c>
      <c r="O790" s="3">
        <f t="shared" si="12"/>
        <v>230</v>
      </c>
      <c r="P790" s="3" t="str">
        <f t="shared" si="13"/>
        <v>NET BANKING</v>
      </c>
      <c r="Q790" s="3" t="str">
        <f t="shared" si="14"/>
        <v>DELIVERED</v>
      </c>
    </row>
    <row r="791">
      <c r="A791" s="1" t="s">
        <v>2422</v>
      </c>
      <c r="B791" s="2">
        <f t="shared" si="1"/>
        <v>46245</v>
      </c>
      <c r="C791" s="1" t="s">
        <v>2423</v>
      </c>
      <c r="D791" s="3" t="str">
        <f t="shared" si="2"/>
        <v>NIHAAR</v>
      </c>
      <c r="E791" s="3" t="str">
        <f t="shared" si="3"/>
        <v>MAGARASTRA</v>
      </c>
      <c r="F791" s="3" t="str">
        <f t="shared" si="4"/>
        <v>PUNE</v>
      </c>
      <c r="G791" s="1" t="s">
        <v>2424</v>
      </c>
      <c r="H791" s="3" t="str">
        <f t="shared" si="5"/>
        <v>BEAUTY</v>
      </c>
      <c r="I791" s="3" t="str">
        <f t="shared" si="6"/>
        <v>KAJAL</v>
      </c>
      <c r="J791" s="3">
        <f t="shared" si="7"/>
        <v>4</v>
      </c>
      <c r="K791" s="3">
        <f t="shared" si="8"/>
        <v>116</v>
      </c>
      <c r="L791" s="4">
        <f t="shared" si="9"/>
        <v>0.15</v>
      </c>
      <c r="M791" s="3">
        <f t="shared" si="10"/>
        <v>394.4</v>
      </c>
      <c r="N791" s="3">
        <f t="shared" si="11"/>
        <v>276</v>
      </c>
      <c r="O791" s="3">
        <f t="shared" si="12"/>
        <v>118</v>
      </c>
      <c r="P791" s="3" t="str">
        <f t="shared" si="13"/>
        <v>WALLET</v>
      </c>
      <c r="Q791" s="3" t="str">
        <f t="shared" si="14"/>
        <v>SHIPPED</v>
      </c>
    </row>
    <row r="792">
      <c r="A792" s="1" t="s">
        <v>2425</v>
      </c>
      <c r="B792" s="2">
        <f t="shared" si="1"/>
        <v>46232</v>
      </c>
      <c r="C792" s="1" t="s">
        <v>2426</v>
      </c>
      <c r="D792" s="3" t="str">
        <f t="shared" si="2"/>
        <v>SRI</v>
      </c>
      <c r="E792" s="3" t="str">
        <f t="shared" si="3"/>
        <v>TAMILNADU</v>
      </c>
      <c r="F792" s="3" t="str">
        <f t="shared" si="4"/>
        <v>THOOTHUKUDI</v>
      </c>
      <c r="G792" s="1" t="s">
        <v>2427</v>
      </c>
      <c r="H792" s="3" t="str">
        <f t="shared" si="5"/>
        <v>HOME &amp; KITCHEN</v>
      </c>
      <c r="I792" s="3" t="str">
        <f t="shared" si="6"/>
        <v>MIXER GRAINDER</v>
      </c>
      <c r="J792" s="3">
        <f t="shared" si="7"/>
        <v>2</v>
      </c>
      <c r="K792" s="3">
        <f t="shared" si="8"/>
        <v>176</v>
      </c>
      <c r="L792" s="4">
        <f t="shared" si="9"/>
        <v>0.15</v>
      </c>
      <c r="M792" s="3">
        <f t="shared" si="10"/>
        <v>299.2</v>
      </c>
      <c r="N792" s="3">
        <f t="shared" si="11"/>
        <v>209</v>
      </c>
      <c r="O792" s="3">
        <f t="shared" si="12"/>
        <v>90</v>
      </c>
      <c r="P792" s="3" t="str">
        <f t="shared" si="13"/>
        <v>UPI</v>
      </c>
      <c r="Q792" s="3" t="str">
        <f t="shared" si="14"/>
        <v>CANCELLED</v>
      </c>
    </row>
    <row r="793">
      <c r="A793" s="1" t="s">
        <v>2428</v>
      </c>
      <c r="B793" s="2">
        <f t="shared" si="1"/>
        <v>46376</v>
      </c>
      <c r="C793" s="1" t="s">
        <v>2429</v>
      </c>
      <c r="D793" s="3" t="str">
        <f t="shared" si="2"/>
        <v>SHOBN</v>
      </c>
      <c r="E793" s="3" t="str">
        <f t="shared" si="3"/>
        <v>KERALA</v>
      </c>
      <c r="F793" s="3" t="str">
        <f t="shared" si="4"/>
        <v>KOCHI</v>
      </c>
      <c r="G793" s="1" t="s">
        <v>2430</v>
      </c>
      <c r="H793" s="3" t="str">
        <f t="shared" si="5"/>
        <v>BOOKS</v>
      </c>
      <c r="I793" s="3" t="str">
        <f t="shared" si="6"/>
        <v>LIFE OF PI</v>
      </c>
      <c r="J793" s="3">
        <f t="shared" si="7"/>
        <v>2</v>
      </c>
      <c r="K793" s="3">
        <f t="shared" si="8"/>
        <v>366</v>
      </c>
      <c r="L793" s="4">
        <f t="shared" si="9"/>
        <v>0</v>
      </c>
      <c r="M793" s="3">
        <f t="shared" si="10"/>
        <v>732</v>
      </c>
      <c r="N793" s="3">
        <f t="shared" si="11"/>
        <v>512</v>
      </c>
      <c r="O793" s="3">
        <f t="shared" si="12"/>
        <v>220</v>
      </c>
      <c r="P793" s="3" t="str">
        <f t="shared" si="13"/>
        <v>CARD</v>
      </c>
      <c r="Q793" s="3" t="str">
        <f t="shared" si="14"/>
        <v>RETURNED</v>
      </c>
    </row>
    <row r="794">
      <c r="A794" s="1" t="s">
        <v>2431</v>
      </c>
      <c r="B794" s="2">
        <f t="shared" si="1"/>
        <v>46165</v>
      </c>
      <c r="C794" s="1" t="s">
        <v>2432</v>
      </c>
      <c r="D794" s="3" t="str">
        <f t="shared" si="2"/>
        <v>SOBI</v>
      </c>
      <c r="E794" s="3" t="str">
        <f t="shared" si="3"/>
        <v>KARNATAKA</v>
      </c>
      <c r="F794" s="3" t="str">
        <f t="shared" si="4"/>
        <v>BANGALURU</v>
      </c>
      <c r="G794" s="1" t="s">
        <v>2433</v>
      </c>
      <c r="H794" s="3" t="str">
        <f t="shared" si="5"/>
        <v>ACCESSORIES</v>
      </c>
      <c r="I794" s="3" t="str">
        <f t="shared" si="6"/>
        <v>EARRINGS</v>
      </c>
      <c r="J794" s="3">
        <f t="shared" si="7"/>
        <v>2</v>
      </c>
      <c r="K794" s="3">
        <f t="shared" si="8"/>
        <v>557</v>
      </c>
      <c r="L794" s="4">
        <f t="shared" si="9"/>
        <v>0.15</v>
      </c>
      <c r="M794" s="3">
        <f t="shared" si="10"/>
        <v>946.9</v>
      </c>
      <c r="N794" s="3">
        <f t="shared" si="11"/>
        <v>663</v>
      </c>
      <c r="O794" s="3">
        <f t="shared" si="12"/>
        <v>284</v>
      </c>
      <c r="P794" s="3" t="str">
        <f t="shared" si="13"/>
        <v>COD</v>
      </c>
      <c r="Q794" s="3" t="str">
        <f t="shared" si="14"/>
        <v>DELIVERED</v>
      </c>
    </row>
    <row r="795">
      <c r="A795" s="1" t="s">
        <v>2434</v>
      </c>
      <c r="B795" s="2">
        <f t="shared" si="1"/>
        <v>46381</v>
      </c>
      <c r="C795" s="1" t="s">
        <v>2435</v>
      </c>
      <c r="D795" s="3" t="str">
        <f t="shared" si="2"/>
        <v>SUJI</v>
      </c>
      <c r="E795" s="3" t="str">
        <f t="shared" si="3"/>
        <v>ANDHRA PRADESH</v>
      </c>
      <c r="F795" s="3" t="str">
        <f t="shared" si="4"/>
        <v>TIRUPATI</v>
      </c>
      <c r="G795" s="1" t="s">
        <v>2436</v>
      </c>
      <c r="H795" s="3" t="str">
        <f t="shared" si="5"/>
        <v>ELECTRONICS</v>
      </c>
      <c r="I795" s="3" t="str">
        <f t="shared" si="6"/>
        <v>WIRELESS EARBUDS</v>
      </c>
      <c r="J795" s="3">
        <f t="shared" si="7"/>
        <v>1</v>
      </c>
      <c r="K795" s="3">
        <f t="shared" si="8"/>
        <v>457</v>
      </c>
      <c r="L795" s="4">
        <f t="shared" si="9"/>
        <v>0.1</v>
      </c>
      <c r="M795" s="3">
        <f t="shared" si="10"/>
        <v>411.3</v>
      </c>
      <c r="N795" s="3">
        <f t="shared" si="11"/>
        <v>288</v>
      </c>
      <c r="O795" s="3">
        <f t="shared" si="12"/>
        <v>123</v>
      </c>
      <c r="P795" s="3" t="str">
        <f t="shared" si="13"/>
        <v>NET BANKING</v>
      </c>
      <c r="Q795" s="3" t="str">
        <f t="shared" si="14"/>
        <v>SHIPPED</v>
      </c>
    </row>
    <row r="796">
      <c r="A796" s="1" t="s">
        <v>2437</v>
      </c>
      <c r="B796" s="2">
        <f t="shared" si="1"/>
        <v>46209</v>
      </c>
      <c r="C796" s="1" t="s">
        <v>2438</v>
      </c>
      <c r="D796" s="3" t="str">
        <f t="shared" si="2"/>
        <v>RATHA</v>
      </c>
      <c r="E796" s="3" t="str">
        <f t="shared" si="3"/>
        <v>TELUGANA</v>
      </c>
      <c r="F796" s="3" t="str">
        <f t="shared" si="4"/>
        <v>HYDERABAD</v>
      </c>
      <c r="G796" s="1" t="s">
        <v>2439</v>
      </c>
      <c r="H796" s="3" t="str">
        <f t="shared" si="5"/>
        <v>SPORTS</v>
      </c>
      <c r="I796" s="3" t="str">
        <f t="shared" si="6"/>
        <v>FOOTBALL</v>
      </c>
      <c r="J796" s="3">
        <f t="shared" si="7"/>
        <v>3</v>
      </c>
      <c r="K796" s="3">
        <f t="shared" si="8"/>
        <v>280</v>
      </c>
      <c r="L796" s="4">
        <f t="shared" si="9"/>
        <v>0.15</v>
      </c>
      <c r="M796" s="3">
        <f t="shared" si="10"/>
        <v>714</v>
      </c>
      <c r="N796" s="3">
        <f t="shared" si="11"/>
        <v>500</v>
      </c>
      <c r="O796" s="3">
        <f t="shared" si="12"/>
        <v>214</v>
      </c>
      <c r="P796" s="3" t="str">
        <f t="shared" si="13"/>
        <v>WALLET</v>
      </c>
      <c r="Q796" s="3" t="str">
        <f t="shared" si="14"/>
        <v>CANCELLED</v>
      </c>
    </row>
    <row r="797">
      <c r="A797" s="1" t="s">
        <v>2440</v>
      </c>
      <c r="B797" s="2">
        <f t="shared" si="1"/>
        <v>46314</v>
      </c>
      <c r="C797" s="1" t="s">
        <v>2441</v>
      </c>
      <c r="D797" s="3" t="str">
        <f t="shared" si="2"/>
        <v>SUSA</v>
      </c>
      <c r="E797" s="3" t="str">
        <f t="shared" si="3"/>
        <v>UTTHRA PRADESH</v>
      </c>
      <c r="F797" s="3" t="str">
        <f t="shared" si="4"/>
        <v>LUCKNOW</v>
      </c>
      <c r="G797" s="1" t="s">
        <v>2442</v>
      </c>
      <c r="H797" s="3" t="str">
        <f t="shared" si="5"/>
        <v>FOOD</v>
      </c>
      <c r="I797" s="3" t="str">
        <f t="shared" si="6"/>
        <v>BIRIYANI</v>
      </c>
      <c r="J797" s="3">
        <f t="shared" si="7"/>
        <v>2</v>
      </c>
      <c r="K797" s="3">
        <f t="shared" si="8"/>
        <v>442</v>
      </c>
      <c r="L797" s="4">
        <f t="shared" si="9"/>
        <v>0</v>
      </c>
      <c r="M797" s="3">
        <f t="shared" si="10"/>
        <v>884</v>
      </c>
      <c r="N797" s="3">
        <f t="shared" si="11"/>
        <v>619</v>
      </c>
      <c r="O797" s="3">
        <f t="shared" si="12"/>
        <v>265</v>
      </c>
      <c r="P797" s="3" t="str">
        <f t="shared" si="13"/>
        <v>UPI</v>
      </c>
      <c r="Q797" s="3" t="str">
        <f t="shared" si="14"/>
        <v>RETURNED</v>
      </c>
    </row>
    <row r="798">
      <c r="A798" s="1" t="s">
        <v>2443</v>
      </c>
      <c r="B798" s="2">
        <f t="shared" si="1"/>
        <v>46352</v>
      </c>
      <c r="C798" s="1" t="s">
        <v>2444</v>
      </c>
      <c r="D798" s="3" t="str">
        <f t="shared" si="2"/>
        <v>NIVE</v>
      </c>
      <c r="E798" s="3" t="str">
        <f t="shared" si="3"/>
        <v>GUJARAT</v>
      </c>
      <c r="F798" s="3" t="str">
        <f t="shared" si="4"/>
        <v>SURAT</v>
      </c>
      <c r="G798" s="1" t="s">
        <v>2445</v>
      </c>
      <c r="H798" s="3" t="str">
        <f t="shared" si="5"/>
        <v>DRESS</v>
      </c>
      <c r="I798" s="3" t="str">
        <f t="shared" si="6"/>
        <v>WOMEN WAERS</v>
      </c>
      <c r="J798" s="3">
        <f t="shared" si="7"/>
        <v>5</v>
      </c>
      <c r="K798" s="3">
        <f t="shared" si="8"/>
        <v>337</v>
      </c>
      <c r="L798" s="4">
        <f t="shared" si="9"/>
        <v>0.15</v>
      </c>
      <c r="M798" s="3">
        <f t="shared" si="10"/>
        <v>1432.25</v>
      </c>
      <c r="N798" s="3">
        <f t="shared" si="11"/>
        <v>1003</v>
      </c>
      <c r="O798" s="3">
        <f t="shared" si="12"/>
        <v>429</v>
      </c>
      <c r="P798" s="3" t="str">
        <f t="shared" si="13"/>
        <v>CARD</v>
      </c>
      <c r="Q798" s="3" t="str">
        <f t="shared" si="14"/>
        <v>DELIVERED</v>
      </c>
    </row>
    <row r="799">
      <c r="A799" s="1" t="s">
        <v>2446</v>
      </c>
      <c r="B799" s="2">
        <f t="shared" si="1"/>
        <v>46134</v>
      </c>
      <c r="C799" s="1" t="s">
        <v>2447</v>
      </c>
      <c r="D799" s="3" t="str">
        <f t="shared" si="2"/>
        <v>VINO</v>
      </c>
      <c r="E799" s="3" t="str">
        <f t="shared" si="3"/>
        <v>RAJASTHAN</v>
      </c>
      <c r="F799" s="3" t="str">
        <f t="shared" si="4"/>
        <v>JAIPUR</v>
      </c>
      <c r="G799" s="1" t="s">
        <v>2448</v>
      </c>
      <c r="H799" s="3" t="str">
        <f t="shared" si="5"/>
        <v>BEAUTY</v>
      </c>
      <c r="I799" s="3" t="str">
        <f t="shared" si="6"/>
        <v>KAJAL</v>
      </c>
      <c r="J799" s="3">
        <f t="shared" si="7"/>
        <v>2</v>
      </c>
      <c r="K799" s="3">
        <f t="shared" si="8"/>
        <v>241</v>
      </c>
      <c r="L799" s="4">
        <f t="shared" si="9"/>
        <v>0</v>
      </c>
      <c r="M799" s="3">
        <f t="shared" si="10"/>
        <v>482</v>
      </c>
      <c r="N799" s="3">
        <f t="shared" si="11"/>
        <v>337</v>
      </c>
      <c r="O799" s="3">
        <f t="shared" si="12"/>
        <v>145</v>
      </c>
      <c r="P799" s="3" t="str">
        <f t="shared" si="13"/>
        <v>COD</v>
      </c>
      <c r="Q799" s="3" t="str">
        <f t="shared" si="14"/>
        <v>SHIPPED</v>
      </c>
    </row>
    <row r="800">
      <c r="A800" s="1" t="s">
        <v>2449</v>
      </c>
      <c r="B800" s="2">
        <f t="shared" si="1"/>
        <v>46342</v>
      </c>
      <c r="C800" s="1" t="s">
        <v>2450</v>
      </c>
      <c r="D800" s="3" t="str">
        <f t="shared" si="2"/>
        <v>ABI</v>
      </c>
      <c r="E800" s="3" t="str">
        <f t="shared" si="3"/>
        <v>WEST BENGAL</v>
      </c>
      <c r="F800" s="3" t="str">
        <f t="shared" si="4"/>
        <v>KOLKATA</v>
      </c>
      <c r="G800" s="1" t="s">
        <v>2451</v>
      </c>
      <c r="H800" s="3" t="str">
        <f t="shared" si="5"/>
        <v>HOME &amp; KITCHEN</v>
      </c>
      <c r="I800" s="3" t="str">
        <f t="shared" si="6"/>
        <v>MIXER GRAINDER</v>
      </c>
      <c r="J800" s="3">
        <f t="shared" si="7"/>
        <v>3</v>
      </c>
      <c r="K800" s="3">
        <f t="shared" si="8"/>
        <v>442</v>
      </c>
      <c r="L800" s="4">
        <f t="shared" si="9"/>
        <v>0.2</v>
      </c>
      <c r="M800" s="3">
        <f t="shared" si="10"/>
        <v>1060.8</v>
      </c>
      <c r="N800" s="3">
        <f t="shared" si="11"/>
        <v>743</v>
      </c>
      <c r="O800" s="3">
        <f t="shared" si="12"/>
        <v>318</v>
      </c>
      <c r="P800" s="3" t="str">
        <f t="shared" si="13"/>
        <v>NET BANKING</v>
      </c>
      <c r="Q800" s="3" t="str">
        <f t="shared" si="14"/>
        <v>CANCELLED</v>
      </c>
    </row>
    <row r="801">
      <c r="A801" s="1" t="s">
        <v>2452</v>
      </c>
      <c r="B801" s="2">
        <f t="shared" si="1"/>
        <v>46036</v>
      </c>
      <c r="C801" s="1" t="s">
        <v>2453</v>
      </c>
      <c r="D801" s="3" t="str">
        <f t="shared" si="2"/>
        <v>NIHAAR</v>
      </c>
      <c r="E801" s="3" t="str">
        <f t="shared" si="3"/>
        <v>MAGARASTRA</v>
      </c>
      <c r="F801" s="3" t="str">
        <f t="shared" si="4"/>
        <v>PUNE</v>
      </c>
      <c r="G801" s="1" t="s">
        <v>2454</v>
      </c>
      <c r="H801" s="3" t="str">
        <f t="shared" si="5"/>
        <v>BOOKS</v>
      </c>
      <c r="I801" s="3" t="str">
        <f t="shared" si="6"/>
        <v>LIFE OF PI</v>
      </c>
      <c r="J801" s="3">
        <f t="shared" si="7"/>
        <v>5</v>
      </c>
      <c r="K801" s="3">
        <f t="shared" si="8"/>
        <v>459</v>
      </c>
      <c r="L801" s="4">
        <f t="shared" si="9"/>
        <v>0.2</v>
      </c>
      <c r="M801" s="3">
        <f t="shared" si="10"/>
        <v>1836</v>
      </c>
      <c r="N801" s="3">
        <f t="shared" si="11"/>
        <v>1285</v>
      </c>
      <c r="O801" s="3">
        <f t="shared" si="12"/>
        <v>551</v>
      </c>
      <c r="P801" s="3" t="str">
        <f t="shared" si="13"/>
        <v>WALLET</v>
      </c>
      <c r="Q801" s="3" t="str">
        <f t="shared" si="14"/>
        <v>RETURNED</v>
      </c>
    </row>
    <row r="802">
      <c r="A802" s="1" t="s">
        <v>2455</v>
      </c>
      <c r="B802" s="2">
        <f t="shared" si="1"/>
        <v>46378</v>
      </c>
      <c r="C802" s="1" t="s">
        <v>2456</v>
      </c>
      <c r="D802" s="3" t="str">
        <f t="shared" si="2"/>
        <v>SRI</v>
      </c>
      <c r="E802" s="3" t="str">
        <f t="shared" si="3"/>
        <v>TAMILNADU</v>
      </c>
      <c r="F802" s="3" t="str">
        <f t="shared" si="4"/>
        <v>THOOTHUKUDI</v>
      </c>
      <c r="G802" s="1" t="s">
        <v>2457</v>
      </c>
      <c r="H802" s="3" t="str">
        <f t="shared" si="5"/>
        <v>ACCESSORIES</v>
      </c>
      <c r="I802" s="3" t="str">
        <f t="shared" si="6"/>
        <v>EARRINGS</v>
      </c>
      <c r="J802" s="3">
        <f t="shared" si="7"/>
        <v>1</v>
      </c>
      <c r="K802" s="3">
        <f t="shared" si="8"/>
        <v>456</v>
      </c>
      <c r="L802" s="4">
        <f t="shared" si="9"/>
        <v>0.2</v>
      </c>
      <c r="M802" s="3">
        <f t="shared" si="10"/>
        <v>364.8</v>
      </c>
      <c r="N802" s="3">
        <f t="shared" si="11"/>
        <v>255</v>
      </c>
      <c r="O802" s="3">
        <f t="shared" si="12"/>
        <v>110</v>
      </c>
      <c r="P802" s="3" t="str">
        <f t="shared" si="13"/>
        <v>UPI</v>
      </c>
      <c r="Q802" s="3" t="str">
        <f t="shared" si="14"/>
        <v>DELIVERED</v>
      </c>
    </row>
    <row r="803">
      <c r="A803" s="1" t="s">
        <v>2458</v>
      </c>
      <c r="B803" s="2">
        <f t="shared" si="1"/>
        <v>46246</v>
      </c>
      <c r="C803" s="1" t="s">
        <v>2459</v>
      </c>
      <c r="D803" s="3" t="str">
        <f t="shared" si="2"/>
        <v>SHOBN</v>
      </c>
      <c r="E803" s="3" t="str">
        <f t="shared" si="3"/>
        <v>KERALA</v>
      </c>
      <c r="F803" s="3" t="str">
        <f t="shared" si="4"/>
        <v>KOCHI</v>
      </c>
      <c r="G803" s="1" t="s">
        <v>2460</v>
      </c>
      <c r="H803" s="3" t="str">
        <f t="shared" si="5"/>
        <v>ELECTRONICS</v>
      </c>
      <c r="I803" s="3" t="str">
        <f t="shared" si="6"/>
        <v>WIRELESS EARBUDS</v>
      </c>
      <c r="J803" s="3">
        <f t="shared" si="7"/>
        <v>4</v>
      </c>
      <c r="K803" s="3">
        <f t="shared" si="8"/>
        <v>529</v>
      </c>
      <c r="L803" s="4">
        <f t="shared" si="9"/>
        <v>0.2</v>
      </c>
      <c r="M803" s="3">
        <f t="shared" si="10"/>
        <v>1692.8</v>
      </c>
      <c r="N803" s="3">
        <f t="shared" si="11"/>
        <v>1185</v>
      </c>
      <c r="O803" s="3">
        <f t="shared" si="12"/>
        <v>508</v>
      </c>
      <c r="P803" s="3" t="str">
        <f t="shared" si="13"/>
        <v>CARD</v>
      </c>
      <c r="Q803" s="3" t="str">
        <f t="shared" si="14"/>
        <v>SHIPPED</v>
      </c>
    </row>
    <row r="804">
      <c r="A804" s="1" t="s">
        <v>2461</v>
      </c>
      <c r="B804" s="2">
        <f t="shared" si="1"/>
        <v>46257</v>
      </c>
      <c r="C804" s="1" t="s">
        <v>2462</v>
      </c>
      <c r="D804" s="3" t="str">
        <f t="shared" si="2"/>
        <v>SOBI</v>
      </c>
      <c r="E804" s="3" t="str">
        <f t="shared" si="3"/>
        <v>KARNATAKA</v>
      </c>
      <c r="F804" s="3" t="str">
        <f t="shared" si="4"/>
        <v>BANGALURU</v>
      </c>
      <c r="G804" s="1" t="s">
        <v>2463</v>
      </c>
      <c r="H804" s="3" t="str">
        <f t="shared" si="5"/>
        <v>SPORTS</v>
      </c>
      <c r="I804" s="3" t="str">
        <f t="shared" si="6"/>
        <v>FOOTBALL</v>
      </c>
      <c r="J804" s="3">
        <f t="shared" si="7"/>
        <v>5</v>
      </c>
      <c r="K804" s="3">
        <f t="shared" si="8"/>
        <v>106</v>
      </c>
      <c r="L804" s="4">
        <f t="shared" si="9"/>
        <v>0.15</v>
      </c>
      <c r="M804" s="3">
        <f t="shared" si="10"/>
        <v>450.5</v>
      </c>
      <c r="N804" s="3">
        <f t="shared" si="11"/>
        <v>315</v>
      </c>
      <c r="O804" s="3">
        <f t="shared" si="12"/>
        <v>136</v>
      </c>
      <c r="P804" s="3" t="str">
        <f t="shared" si="13"/>
        <v>COD</v>
      </c>
      <c r="Q804" s="3" t="str">
        <f t="shared" si="14"/>
        <v>CANCELLED</v>
      </c>
    </row>
    <row r="805">
      <c r="A805" s="1" t="s">
        <v>2464</v>
      </c>
      <c r="B805" s="2">
        <f t="shared" si="1"/>
        <v>46113</v>
      </c>
      <c r="C805" s="1" t="s">
        <v>2465</v>
      </c>
      <c r="D805" s="3" t="str">
        <f t="shared" si="2"/>
        <v>SUJI</v>
      </c>
      <c r="E805" s="3" t="str">
        <f t="shared" si="3"/>
        <v>ANDHRA PRADESH</v>
      </c>
      <c r="F805" s="3" t="str">
        <f t="shared" si="4"/>
        <v>TIRUPATI</v>
      </c>
      <c r="G805" s="1" t="s">
        <v>2466</v>
      </c>
      <c r="H805" s="3" t="str">
        <f t="shared" si="5"/>
        <v>FOOD</v>
      </c>
      <c r="I805" s="3" t="str">
        <f t="shared" si="6"/>
        <v>BIRIYANI</v>
      </c>
      <c r="J805" s="3">
        <f t="shared" si="7"/>
        <v>1</v>
      </c>
      <c r="K805" s="3">
        <f t="shared" si="8"/>
        <v>112</v>
      </c>
      <c r="L805" s="4">
        <f t="shared" si="9"/>
        <v>0</v>
      </c>
      <c r="M805" s="3">
        <f t="shared" si="10"/>
        <v>112</v>
      </c>
      <c r="N805" s="3">
        <f t="shared" si="11"/>
        <v>78</v>
      </c>
      <c r="O805" s="3">
        <f t="shared" si="12"/>
        <v>34</v>
      </c>
      <c r="P805" s="3" t="str">
        <f t="shared" si="13"/>
        <v>NET BANKING</v>
      </c>
      <c r="Q805" s="3" t="str">
        <f t="shared" si="14"/>
        <v>RETURNED</v>
      </c>
    </row>
    <row r="806">
      <c r="A806" s="1" t="s">
        <v>2467</v>
      </c>
      <c r="B806" s="2">
        <f t="shared" si="1"/>
        <v>46033</v>
      </c>
      <c r="C806" s="1" t="s">
        <v>2468</v>
      </c>
      <c r="D806" s="3" t="str">
        <f t="shared" si="2"/>
        <v>RATHA</v>
      </c>
      <c r="E806" s="3" t="str">
        <f t="shared" si="3"/>
        <v>TELUGANA</v>
      </c>
      <c r="F806" s="3" t="str">
        <f t="shared" si="4"/>
        <v>HYDERABAD</v>
      </c>
      <c r="G806" s="1" t="s">
        <v>2469</v>
      </c>
      <c r="H806" s="3" t="str">
        <f t="shared" si="5"/>
        <v>DRESS</v>
      </c>
      <c r="I806" s="3" t="str">
        <f t="shared" si="6"/>
        <v>WOMEN WAERS</v>
      </c>
      <c r="J806" s="3">
        <f t="shared" si="7"/>
        <v>1</v>
      </c>
      <c r="K806" s="3">
        <f t="shared" si="8"/>
        <v>494</v>
      </c>
      <c r="L806" s="4">
        <f t="shared" si="9"/>
        <v>0.15</v>
      </c>
      <c r="M806" s="3">
        <f t="shared" si="10"/>
        <v>419.9</v>
      </c>
      <c r="N806" s="3">
        <f t="shared" si="11"/>
        <v>294</v>
      </c>
      <c r="O806" s="3">
        <f t="shared" si="12"/>
        <v>126</v>
      </c>
      <c r="P806" s="3" t="str">
        <f t="shared" si="13"/>
        <v>WALLET</v>
      </c>
      <c r="Q806" s="3" t="str">
        <f t="shared" si="14"/>
        <v>DELIVERED</v>
      </c>
    </row>
    <row r="807">
      <c r="A807" s="1" t="s">
        <v>2470</v>
      </c>
      <c r="B807" s="2">
        <f t="shared" si="1"/>
        <v>46221</v>
      </c>
      <c r="C807" s="1" t="s">
        <v>2471</v>
      </c>
      <c r="D807" s="3" t="str">
        <f t="shared" si="2"/>
        <v>SUSA</v>
      </c>
      <c r="E807" s="3" t="str">
        <f t="shared" si="3"/>
        <v>UTTHRA PRADESH</v>
      </c>
      <c r="F807" s="3" t="str">
        <f t="shared" si="4"/>
        <v>LUCKNOW</v>
      </c>
      <c r="G807" s="1" t="s">
        <v>2472</v>
      </c>
      <c r="H807" s="3" t="str">
        <f t="shared" si="5"/>
        <v>BEAUTY</v>
      </c>
      <c r="I807" s="3" t="str">
        <f t="shared" si="6"/>
        <v>KAJAL</v>
      </c>
      <c r="J807" s="3">
        <f t="shared" si="7"/>
        <v>3</v>
      </c>
      <c r="K807" s="3">
        <f t="shared" si="8"/>
        <v>182</v>
      </c>
      <c r="L807" s="4">
        <f t="shared" si="9"/>
        <v>0.15</v>
      </c>
      <c r="M807" s="3">
        <f t="shared" si="10"/>
        <v>464.1</v>
      </c>
      <c r="N807" s="3">
        <f t="shared" si="11"/>
        <v>325</v>
      </c>
      <c r="O807" s="3">
        <f t="shared" si="12"/>
        <v>139</v>
      </c>
      <c r="P807" s="3" t="str">
        <f t="shared" si="13"/>
        <v>UPI</v>
      </c>
      <c r="Q807" s="3" t="str">
        <f t="shared" si="14"/>
        <v>SHIPPED</v>
      </c>
    </row>
    <row r="808">
      <c r="A808" s="1" t="s">
        <v>2473</v>
      </c>
      <c r="B808" s="2">
        <f t="shared" si="1"/>
        <v>46294</v>
      </c>
      <c r="C808" s="1" t="s">
        <v>2474</v>
      </c>
      <c r="D808" s="3" t="str">
        <f t="shared" si="2"/>
        <v>NIVE</v>
      </c>
      <c r="E808" s="3" t="str">
        <f t="shared" si="3"/>
        <v>GUJARAT</v>
      </c>
      <c r="F808" s="3" t="str">
        <f t="shared" si="4"/>
        <v>SURAT</v>
      </c>
      <c r="G808" s="1" t="s">
        <v>2475</v>
      </c>
      <c r="H808" s="3" t="str">
        <f t="shared" si="5"/>
        <v>HOME &amp; KITCHEN</v>
      </c>
      <c r="I808" s="3" t="str">
        <f t="shared" si="6"/>
        <v>MIXER GRAINDER</v>
      </c>
      <c r="J808" s="3">
        <f t="shared" si="7"/>
        <v>1</v>
      </c>
      <c r="K808" s="3">
        <f t="shared" si="8"/>
        <v>271</v>
      </c>
      <c r="L808" s="4">
        <f t="shared" si="9"/>
        <v>0.15</v>
      </c>
      <c r="M808" s="3">
        <f t="shared" si="10"/>
        <v>230.35</v>
      </c>
      <c r="N808" s="3">
        <f t="shared" si="11"/>
        <v>161</v>
      </c>
      <c r="O808" s="3">
        <f t="shared" si="12"/>
        <v>69</v>
      </c>
      <c r="P808" s="3" t="str">
        <f t="shared" si="13"/>
        <v>CARD</v>
      </c>
      <c r="Q808" s="3" t="str">
        <f t="shared" si="14"/>
        <v>CANCELLED</v>
      </c>
    </row>
    <row r="809">
      <c r="A809" s="1" t="s">
        <v>2476</v>
      </c>
      <c r="B809" s="2">
        <f t="shared" si="1"/>
        <v>46381</v>
      </c>
      <c r="C809" s="1" t="s">
        <v>2477</v>
      </c>
      <c r="D809" s="3" t="str">
        <f t="shared" si="2"/>
        <v>VINO</v>
      </c>
      <c r="E809" s="3" t="str">
        <f t="shared" si="3"/>
        <v>RAJASTHAN</v>
      </c>
      <c r="F809" s="3" t="str">
        <f t="shared" si="4"/>
        <v>JAIPUR</v>
      </c>
      <c r="G809" s="1" t="s">
        <v>2478</v>
      </c>
      <c r="H809" s="3" t="str">
        <f t="shared" si="5"/>
        <v>BOOKS</v>
      </c>
      <c r="I809" s="3" t="str">
        <f t="shared" si="6"/>
        <v>LIFE OF PI</v>
      </c>
      <c r="J809" s="3">
        <f t="shared" si="7"/>
        <v>1</v>
      </c>
      <c r="K809" s="3">
        <f t="shared" si="8"/>
        <v>335</v>
      </c>
      <c r="L809" s="4">
        <f t="shared" si="9"/>
        <v>0</v>
      </c>
      <c r="M809" s="3">
        <f t="shared" si="10"/>
        <v>335</v>
      </c>
      <c r="N809" s="3">
        <f t="shared" si="11"/>
        <v>235</v>
      </c>
      <c r="O809" s="3">
        <f t="shared" si="12"/>
        <v>100</v>
      </c>
      <c r="P809" s="3" t="str">
        <f t="shared" si="13"/>
        <v>COD</v>
      </c>
      <c r="Q809" s="3" t="str">
        <f t="shared" si="14"/>
        <v>RETURNED</v>
      </c>
    </row>
    <row r="810">
      <c r="A810" s="1" t="s">
        <v>2479</v>
      </c>
      <c r="B810" s="2">
        <f t="shared" si="1"/>
        <v>46249</v>
      </c>
      <c r="C810" s="1" t="s">
        <v>2480</v>
      </c>
      <c r="D810" s="3" t="str">
        <f t="shared" si="2"/>
        <v>ABI</v>
      </c>
      <c r="E810" s="3" t="str">
        <f t="shared" si="3"/>
        <v>WEST BENGAL</v>
      </c>
      <c r="F810" s="3" t="str">
        <f t="shared" si="4"/>
        <v>KOLKATA</v>
      </c>
      <c r="G810" s="1" t="s">
        <v>2481</v>
      </c>
      <c r="H810" s="3" t="str">
        <f t="shared" si="5"/>
        <v>ACCESSORIES</v>
      </c>
      <c r="I810" s="3" t="str">
        <f t="shared" si="6"/>
        <v>EARRINGS</v>
      </c>
      <c r="J810" s="3">
        <f t="shared" si="7"/>
        <v>2</v>
      </c>
      <c r="K810" s="3">
        <f t="shared" si="8"/>
        <v>313</v>
      </c>
      <c r="L810" s="4">
        <f t="shared" si="9"/>
        <v>0.5</v>
      </c>
      <c r="M810" s="3">
        <f t="shared" si="10"/>
        <v>313</v>
      </c>
      <c r="N810" s="3">
        <f t="shared" si="11"/>
        <v>219</v>
      </c>
      <c r="O810" s="3">
        <f t="shared" si="12"/>
        <v>94</v>
      </c>
      <c r="P810" s="3" t="str">
        <f t="shared" si="13"/>
        <v>NET BANKING</v>
      </c>
      <c r="Q810" s="3" t="str">
        <f t="shared" si="14"/>
        <v>DELIVERED</v>
      </c>
    </row>
    <row r="811">
      <c r="A811" s="1" t="s">
        <v>2482</v>
      </c>
      <c r="B811" s="2">
        <f t="shared" si="1"/>
        <v>46159</v>
      </c>
      <c r="C811" s="1" t="s">
        <v>2483</v>
      </c>
      <c r="D811" s="3" t="str">
        <f t="shared" si="2"/>
        <v>NIHAAR</v>
      </c>
      <c r="E811" s="3" t="str">
        <f t="shared" si="3"/>
        <v>MAGARASTRA</v>
      </c>
      <c r="F811" s="3" t="str">
        <f t="shared" si="4"/>
        <v>PUNE</v>
      </c>
      <c r="G811" s="1" t="s">
        <v>2484</v>
      </c>
      <c r="H811" s="3" t="str">
        <f t="shared" si="5"/>
        <v>ELECTRONICS</v>
      </c>
      <c r="I811" s="3" t="str">
        <f t="shared" si="6"/>
        <v>WIRELESS EARBUDS</v>
      </c>
      <c r="J811" s="3">
        <f t="shared" si="7"/>
        <v>3</v>
      </c>
      <c r="K811" s="3">
        <f t="shared" si="8"/>
        <v>478</v>
      </c>
      <c r="L811" s="4">
        <f t="shared" si="9"/>
        <v>0.5</v>
      </c>
      <c r="M811" s="3">
        <f t="shared" si="10"/>
        <v>717</v>
      </c>
      <c r="N811" s="3">
        <f t="shared" si="11"/>
        <v>502</v>
      </c>
      <c r="O811" s="3">
        <f t="shared" si="12"/>
        <v>215</v>
      </c>
      <c r="P811" s="3" t="str">
        <f t="shared" si="13"/>
        <v>WALLET</v>
      </c>
      <c r="Q811" s="3" t="str">
        <f t="shared" si="14"/>
        <v>SHIPPED</v>
      </c>
    </row>
    <row r="812">
      <c r="A812" s="1" t="s">
        <v>2485</v>
      </c>
      <c r="B812" s="2">
        <f t="shared" si="1"/>
        <v>46144</v>
      </c>
      <c r="C812" s="1" t="s">
        <v>2486</v>
      </c>
      <c r="D812" s="3" t="str">
        <f t="shared" si="2"/>
        <v>SRI</v>
      </c>
      <c r="E812" s="3" t="str">
        <f t="shared" si="3"/>
        <v>TAMILNADU</v>
      </c>
      <c r="F812" s="3" t="str">
        <f t="shared" si="4"/>
        <v>THOOTHUKUDI</v>
      </c>
      <c r="G812" s="1" t="s">
        <v>2487</v>
      </c>
      <c r="H812" s="3" t="str">
        <f t="shared" si="5"/>
        <v>SPORTS</v>
      </c>
      <c r="I812" s="3" t="str">
        <f t="shared" si="6"/>
        <v>FOOTBALL</v>
      </c>
      <c r="J812" s="3">
        <f t="shared" si="7"/>
        <v>2</v>
      </c>
      <c r="K812" s="3">
        <f t="shared" si="8"/>
        <v>258</v>
      </c>
      <c r="L812" s="4">
        <f t="shared" si="9"/>
        <v>0</v>
      </c>
      <c r="M812" s="3">
        <f t="shared" si="10"/>
        <v>516</v>
      </c>
      <c r="N812" s="3">
        <f t="shared" si="11"/>
        <v>361</v>
      </c>
      <c r="O812" s="3">
        <f t="shared" si="12"/>
        <v>155</v>
      </c>
      <c r="P812" s="3" t="str">
        <f t="shared" si="13"/>
        <v>UPI</v>
      </c>
      <c r="Q812" s="3" t="str">
        <f t="shared" si="14"/>
        <v>CANCELLED</v>
      </c>
    </row>
    <row r="813">
      <c r="A813" s="1" t="s">
        <v>2488</v>
      </c>
      <c r="B813" s="2">
        <f t="shared" si="1"/>
        <v>46369</v>
      </c>
      <c r="C813" s="1" t="s">
        <v>2489</v>
      </c>
      <c r="D813" s="3" t="str">
        <f t="shared" si="2"/>
        <v>SHOBN</v>
      </c>
      <c r="E813" s="3" t="str">
        <f t="shared" si="3"/>
        <v>KERALA</v>
      </c>
      <c r="F813" s="3" t="str">
        <f t="shared" si="4"/>
        <v>KOCHI</v>
      </c>
      <c r="G813" s="1" t="s">
        <v>2490</v>
      </c>
      <c r="H813" s="3" t="str">
        <f t="shared" si="5"/>
        <v>FOOD</v>
      </c>
      <c r="I813" s="3" t="str">
        <f t="shared" si="6"/>
        <v>BIRIYANI</v>
      </c>
      <c r="J813" s="3">
        <f t="shared" si="7"/>
        <v>4</v>
      </c>
      <c r="K813" s="3">
        <f t="shared" si="8"/>
        <v>336</v>
      </c>
      <c r="L813" s="4">
        <f t="shared" si="9"/>
        <v>0</v>
      </c>
      <c r="M813" s="3">
        <f t="shared" si="10"/>
        <v>1344</v>
      </c>
      <c r="N813" s="3">
        <f t="shared" si="11"/>
        <v>941</v>
      </c>
      <c r="O813" s="3">
        <f t="shared" si="12"/>
        <v>403</v>
      </c>
      <c r="P813" s="3" t="str">
        <f t="shared" si="13"/>
        <v>CARD</v>
      </c>
      <c r="Q813" s="3" t="str">
        <f t="shared" si="14"/>
        <v>RETURNED</v>
      </c>
    </row>
    <row r="814">
      <c r="A814" s="1" t="s">
        <v>2491</v>
      </c>
      <c r="B814" s="2">
        <f t="shared" si="1"/>
        <v>46136</v>
      </c>
      <c r="C814" s="1" t="s">
        <v>2492</v>
      </c>
      <c r="D814" s="3" t="str">
        <f t="shared" si="2"/>
        <v>SOBI</v>
      </c>
      <c r="E814" s="3" t="str">
        <f t="shared" si="3"/>
        <v>KARNATAKA</v>
      </c>
      <c r="F814" s="3" t="str">
        <f t="shared" si="4"/>
        <v>BANGALURU</v>
      </c>
      <c r="G814" s="1" t="s">
        <v>2493</v>
      </c>
      <c r="H814" s="3" t="str">
        <f t="shared" si="5"/>
        <v>DRESS</v>
      </c>
      <c r="I814" s="3" t="str">
        <f t="shared" si="6"/>
        <v>WOMEN WAERS</v>
      </c>
      <c r="J814" s="3">
        <f t="shared" si="7"/>
        <v>2</v>
      </c>
      <c r="K814" s="3">
        <f t="shared" si="8"/>
        <v>523</v>
      </c>
      <c r="L814" s="4">
        <f t="shared" si="9"/>
        <v>0.5</v>
      </c>
      <c r="M814" s="3">
        <f t="shared" si="10"/>
        <v>523</v>
      </c>
      <c r="N814" s="3">
        <f t="shared" si="11"/>
        <v>366</v>
      </c>
      <c r="O814" s="3">
        <f t="shared" si="12"/>
        <v>157</v>
      </c>
      <c r="P814" s="3" t="str">
        <f t="shared" si="13"/>
        <v>COD</v>
      </c>
      <c r="Q814" s="3" t="str">
        <f t="shared" si="14"/>
        <v>DELIVERED</v>
      </c>
    </row>
    <row r="815">
      <c r="A815" s="1" t="s">
        <v>2494</v>
      </c>
      <c r="B815" s="2">
        <f t="shared" si="1"/>
        <v>46182</v>
      </c>
      <c r="C815" s="1" t="s">
        <v>2495</v>
      </c>
      <c r="D815" s="3" t="str">
        <f t="shared" si="2"/>
        <v>SUJI</v>
      </c>
      <c r="E815" s="3" t="str">
        <f t="shared" si="3"/>
        <v>ANDHRA PRADESH</v>
      </c>
      <c r="F815" s="3" t="str">
        <f t="shared" si="4"/>
        <v>TIRUPATI</v>
      </c>
      <c r="G815" s="1" t="s">
        <v>2496</v>
      </c>
      <c r="H815" s="3" t="str">
        <f t="shared" si="5"/>
        <v>BEAUTY</v>
      </c>
      <c r="I815" s="3" t="str">
        <f t="shared" si="6"/>
        <v>KAJAL</v>
      </c>
      <c r="J815" s="3">
        <f t="shared" si="7"/>
        <v>5</v>
      </c>
      <c r="K815" s="3">
        <f t="shared" si="8"/>
        <v>234</v>
      </c>
      <c r="L815" s="4">
        <f t="shared" si="9"/>
        <v>0</v>
      </c>
      <c r="M815" s="3">
        <f t="shared" si="10"/>
        <v>1170</v>
      </c>
      <c r="N815" s="3">
        <f t="shared" si="11"/>
        <v>819</v>
      </c>
      <c r="O815" s="3">
        <f t="shared" si="12"/>
        <v>351</v>
      </c>
      <c r="P815" s="3" t="str">
        <f t="shared" si="13"/>
        <v>NET BANKING</v>
      </c>
      <c r="Q815" s="3" t="str">
        <f t="shared" si="14"/>
        <v>SHIPPED</v>
      </c>
    </row>
    <row r="816">
      <c r="A816" s="1" t="s">
        <v>2497</v>
      </c>
      <c r="B816" s="2">
        <f t="shared" si="1"/>
        <v>46354</v>
      </c>
      <c r="C816" s="1" t="s">
        <v>2498</v>
      </c>
      <c r="D816" s="3" t="str">
        <f t="shared" si="2"/>
        <v>RATHA</v>
      </c>
      <c r="E816" s="3" t="str">
        <f t="shared" si="3"/>
        <v>TELUGANA</v>
      </c>
      <c r="F816" s="3" t="str">
        <f t="shared" si="4"/>
        <v>HYDERABAD</v>
      </c>
      <c r="G816" s="1" t="s">
        <v>2499</v>
      </c>
      <c r="H816" s="3" t="str">
        <f t="shared" si="5"/>
        <v>HOME &amp; KITCHEN</v>
      </c>
      <c r="I816" s="3" t="str">
        <f t="shared" si="6"/>
        <v>MIXER GRAINDER</v>
      </c>
      <c r="J816" s="3">
        <f t="shared" si="7"/>
        <v>2</v>
      </c>
      <c r="K816" s="3">
        <f t="shared" si="8"/>
        <v>115</v>
      </c>
      <c r="L816" s="4">
        <f t="shared" si="9"/>
        <v>0.15</v>
      </c>
      <c r="M816" s="3">
        <f t="shared" si="10"/>
        <v>195.5</v>
      </c>
      <c r="N816" s="3">
        <f t="shared" si="11"/>
        <v>137</v>
      </c>
      <c r="O816" s="3">
        <f t="shared" si="12"/>
        <v>59</v>
      </c>
      <c r="P816" s="3" t="str">
        <f t="shared" si="13"/>
        <v>WALLET</v>
      </c>
      <c r="Q816" s="3" t="str">
        <f t="shared" si="14"/>
        <v>CANCELLED</v>
      </c>
    </row>
    <row r="817">
      <c r="A817" s="1" t="s">
        <v>2500</v>
      </c>
      <c r="B817" s="2">
        <f t="shared" si="1"/>
        <v>46225</v>
      </c>
      <c r="C817" s="1" t="s">
        <v>2501</v>
      </c>
      <c r="D817" s="3" t="str">
        <f t="shared" si="2"/>
        <v>SUSA</v>
      </c>
      <c r="E817" s="3" t="str">
        <f t="shared" si="3"/>
        <v>UTTHRA PRADESH</v>
      </c>
      <c r="F817" s="3" t="str">
        <f t="shared" si="4"/>
        <v>LUCKNOW</v>
      </c>
      <c r="G817" s="1" t="s">
        <v>2502</v>
      </c>
      <c r="H817" s="3" t="str">
        <f t="shared" si="5"/>
        <v>BOOKS</v>
      </c>
      <c r="I817" s="3" t="str">
        <f t="shared" si="6"/>
        <v>LIFE OF PI</v>
      </c>
      <c r="J817" s="3">
        <f t="shared" si="7"/>
        <v>3</v>
      </c>
      <c r="K817" s="3">
        <f t="shared" si="8"/>
        <v>282</v>
      </c>
      <c r="L817" s="4">
        <f t="shared" si="9"/>
        <v>0.5</v>
      </c>
      <c r="M817" s="3">
        <f t="shared" si="10"/>
        <v>423</v>
      </c>
      <c r="N817" s="3">
        <f t="shared" si="11"/>
        <v>296</v>
      </c>
      <c r="O817" s="3">
        <f t="shared" si="12"/>
        <v>127</v>
      </c>
      <c r="P817" s="3" t="str">
        <f t="shared" si="13"/>
        <v>UPI</v>
      </c>
      <c r="Q817" s="3" t="str">
        <f t="shared" si="14"/>
        <v>RETURNED</v>
      </c>
    </row>
    <row r="818">
      <c r="A818" s="1" t="s">
        <v>2503</v>
      </c>
      <c r="B818" s="2">
        <f t="shared" si="1"/>
        <v>46185</v>
      </c>
      <c r="C818" s="1" t="s">
        <v>2504</v>
      </c>
      <c r="D818" s="3" t="str">
        <f t="shared" si="2"/>
        <v>NIVE</v>
      </c>
      <c r="E818" s="3" t="str">
        <f t="shared" si="3"/>
        <v>GUJARAT</v>
      </c>
      <c r="F818" s="3" t="str">
        <f t="shared" si="4"/>
        <v>SURAT</v>
      </c>
      <c r="G818" s="1" t="s">
        <v>2505</v>
      </c>
      <c r="H818" s="3" t="str">
        <f t="shared" si="5"/>
        <v>ACCESSORIES</v>
      </c>
      <c r="I818" s="3" t="str">
        <f t="shared" si="6"/>
        <v>EARRINGS</v>
      </c>
      <c r="J818" s="3">
        <f t="shared" si="7"/>
        <v>1</v>
      </c>
      <c r="K818" s="3">
        <f t="shared" si="8"/>
        <v>576</v>
      </c>
      <c r="L818" s="4">
        <f t="shared" si="9"/>
        <v>0.17</v>
      </c>
      <c r="M818" s="3">
        <f t="shared" si="10"/>
        <v>478.08</v>
      </c>
      <c r="N818" s="3">
        <f t="shared" si="11"/>
        <v>335</v>
      </c>
      <c r="O818" s="3">
        <f t="shared" si="12"/>
        <v>143</v>
      </c>
      <c r="P818" s="3" t="str">
        <f t="shared" si="13"/>
        <v>CARD</v>
      </c>
      <c r="Q818" s="3" t="str">
        <f t="shared" si="14"/>
        <v>DELIVERED</v>
      </c>
    </row>
    <row r="819">
      <c r="A819" s="1" t="s">
        <v>2506</v>
      </c>
      <c r="B819" s="2">
        <f t="shared" si="1"/>
        <v>46303</v>
      </c>
      <c r="C819" s="1" t="s">
        <v>2507</v>
      </c>
      <c r="D819" s="3" t="str">
        <f t="shared" si="2"/>
        <v>VINO</v>
      </c>
      <c r="E819" s="3" t="str">
        <f t="shared" si="3"/>
        <v>RAJASTHAN</v>
      </c>
      <c r="F819" s="3" t="str">
        <f t="shared" si="4"/>
        <v>JAIPUR</v>
      </c>
      <c r="G819" s="1" t="s">
        <v>2508</v>
      </c>
      <c r="H819" s="3" t="str">
        <f t="shared" si="5"/>
        <v>ELECTRONICS</v>
      </c>
      <c r="I819" s="3" t="str">
        <f t="shared" si="6"/>
        <v>WIRELESS EARBUDS</v>
      </c>
      <c r="J819" s="3">
        <f t="shared" si="7"/>
        <v>3</v>
      </c>
      <c r="K819" s="3">
        <f t="shared" si="8"/>
        <v>403</v>
      </c>
      <c r="L819" s="4">
        <f t="shared" si="9"/>
        <v>0</v>
      </c>
      <c r="M819" s="3">
        <f t="shared" si="10"/>
        <v>1209</v>
      </c>
      <c r="N819" s="3">
        <f t="shared" si="11"/>
        <v>846</v>
      </c>
      <c r="O819" s="3">
        <f t="shared" si="12"/>
        <v>363</v>
      </c>
      <c r="P819" s="3" t="str">
        <f t="shared" si="13"/>
        <v>COD</v>
      </c>
      <c r="Q819" s="3" t="str">
        <f t="shared" si="14"/>
        <v>SHIPPED</v>
      </c>
    </row>
    <row r="820">
      <c r="A820" s="1" t="s">
        <v>2509</v>
      </c>
      <c r="B820" s="2">
        <f t="shared" si="1"/>
        <v>46144</v>
      </c>
      <c r="C820" s="1" t="s">
        <v>2510</v>
      </c>
      <c r="D820" s="3" t="str">
        <f t="shared" si="2"/>
        <v>ABI</v>
      </c>
      <c r="E820" s="3" t="str">
        <f t="shared" si="3"/>
        <v>WEST BENGAL</v>
      </c>
      <c r="F820" s="3" t="str">
        <f t="shared" si="4"/>
        <v>KOLKATA</v>
      </c>
      <c r="G820" s="1" t="s">
        <v>2511</v>
      </c>
      <c r="H820" s="3" t="str">
        <f t="shared" si="5"/>
        <v>SPORTS</v>
      </c>
      <c r="I820" s="3" t="str">
        <f t="shared" si="6"/>
        <v>FOOTBALL</v>
      </c>
      <c r="J820" s="3">
        <f t="shared" si="7"/>
        <v>4</v>
      </c>
      <c r="K820" s="3">
        <f t="shared" si="8"/>
        <v>185</v>
      </c>
      <c r="L820" s="4">
        <f t="shared" si="9"/>
        <v>0</v>
      </c>
      <c r="M820" s="3">
        <f t="shared" si="10"/>
        <v>740</v>
      </c>
      <c r="N820" s="3">
        <f t="shared" si="11"/>
        <v>518</v>
      </c>
      <c r="O820" s="3">
        <f t="shared" si="12"/>
        <v>222</v>
      </c>
      <c r="P820" s="3" t="str">
        <f t="shared" si="13"/>
        <v>NET BANKING</v>
      </c>
      <c r="Q820" s="3" t="str">
        <f t="shared" si="14"/>
        <v>CANCELLED</v>
      </c>
    </row>
    <row r="821">
      <c r="A821" s="1" t="s">
        <v>2512</v>
      </c>
      <c r="B821" s="2">
        <f t="shared" si="1"/>
        <v>46139</v>
      </c>
      <c r="C821" s="1" t="s">
        <v>2513</v>
      </c>
      <c r="D821" s="3" t="str">
        <f t="shared" si="2"/>
        <v>NIHAAR</v>
      </c>
      <c r="E821" s="3" t="str">
        <f t="shared" si="3"/>
        <v>MAGARASTRA</v>
      </c>
      <c r="F821" s="3" t="str">
        <f t="shared" si="4"/>
        <v>PUNE</v>
      </c>
      <c r="G821" s="1" t="s">
        <v>2514</v>
      </c>
      <c r="H821" s="3" t="str">
        <f t="shared" si="5"/>
        <v>FOOD</v>
      </c>
      <c r="I821" s="3" t="str">
        <f t="shared" si="6"/>
        <v>BIRIYANI</v>
      </c>
      <c r="J821" s="3">
        <f t="shared" si="7"/>
        <v>5</v>
      </c>
      <c r="K821" s="3">
        <f t="shared" si="8"/>
        <v>416</v>
      </c>
      <c r="L821" s="4">
        <f t="shared" si="9"/>
        <v>0.15</v>
      </c>
      <c r="M821" s="3">
        <f t="shared" si="10"/>
        <v>1768</v>
      </c>
      <c r="N821" s="3">
        <f t="shared" si="11"/>
        <v>1238</v>
      </c>
      <c r="O821" s="3">
        <f t="shared" si="12"/>
        <v>530</v>
      </c>
      <c r="P821" s="3" t="str">
        <f t="shared" si="13"/>
        <v>WALLET</v>
      </c>
      <c r="Q821" s="3" t="str">
        <f t="shared" si="14"/>
        <v>RETURNED</v>
      </c>
    </row>
    <row r="822">
      <c r="A822" s="1" t="s">
        <v>2515</v>
      </c>
      <c r="B822" s="2">
        <f t="shared" si="1"/>
        <v>46370</v>
      </c>
      <c r="C822" s="1" t="s">
        <v>2516</v>
      </c>
      <c r="D822" s="3" t="str">
        <f t="shared" si="2"/>
        <v>SRI</v>
      </c>
      <c r="E822" s="3" t="str">
        <f t="shared" si="3"/>
        <v>TAMILNADU</v>
      </c>
      <c r="F822" s="3" t="str">
        <f t="shared" si="4"/>
        <v>THOOTHUKUDI</v>
      </c>
      <c r="G822" s="1" t="s">
        <v>2517</v>
      </c>
      <c r="H822" s="3" t="str">
        <f t="shared" si="5"/>
        <v>DRESS</v>
      </c>
      <c r="I822" s="3" t="str">
        <f t="shared" si="6"/>
        <v>WOMEN WAERS</v>
      </c>
      <c r="J822" s="3">
        <f t="shared" si="7"/>
        <v>4</v>
      </c>
      <c r="K822" s="3">
        <f t="shared" si="8"/>
        <v>448</v>
      </c>
      <c r="L822" s="4">
        <f t="shared" si="9"/>
        <v>0.2</v>
      </c>
      <c r="M822" s="3">
        <f t="shared" si="10"/>
        <v>1433.6</v>
      </c>
      <c r="N822" s="3">
        <f t="shared" si="11"/>
        <v>1004</v>
      </c>
      <c r="O822" s="3">
        <f t="shared" si="12"/>
        <v>430</v>
      </c>
      <c r="P822" s="3" t="str">
        <f t="shared" si="13"/>
        <v>UPI</v>
      </c>
      <c r="Q822" s="3" t="str">
        <f t="shared" si="14"/>
        <v>DELIVERED</v>
      </c>
    </row>
    <row r="823">
      <c r="A823" s="1" t="s">
        <v>2518</v>
      </c>
      <c r="B823" s="2">
        <f t="shared" si="1"/>
        <v>46293</v>
      </c>
      <c r="C823" s="1" t="s">
        <v>2519</v>
      </c>
      <c r="D823" s="3" t="str">
        <f t="shared" si="2"/>
        <v>SHOBN</v>
      </c>
      <c r="E823" s="3" t="str">
        <f t="shared" si="3"/>
        <v>KERALA</v>
      </c>
      <c r="F823" s="3" t="str">
        <f t="shared" si="4"/>
        <v>KOCHI</v>
      </c>
      <c r="G823" s="1" t="s">
        <v>2520</v>
      </c>
      <c r="H823" s="3" t="str">
        <f t="shared" si="5"/>
        <v>BEAUTY</v>
      </c>
      <c r="I823" s="3" t="str">
        <f t="shared" si="6"/>
        <v>KAJAL</v>
      </c>
      <c r="J823" s="3">
        <f t="shared" si="7"/>
        <v>3</v>
      </c>
      <c r="K823" s="3">
        <f t="shared" si="8"/>
        <v>478</v>
      </c>
      <c r="L823" s="4">
        <f t="shared" si="9"/>
        <v>0.1</v>
      </c>
      <c r="M823" s="3">
        <f t="shared" si="10"/>
        <v>1290.6</v>
      </c>
      <c r="N823" s="3">
        <f t="shared" si="11"/>
        <v>903</v>
      </c>
      <c r="O823" s="3">
        <f t="shared" si="12"/>
        <v>388</v>
      </c>
      <c r="P823" s="3" t="str">
        <f t="shared" si="13"/>
        <v>CARD</v>
      </c>
      <c r="Q823" s="3" t="str">
        <f t="shared" si="14"/>
        <v>SHIPPED</v>
      </c>
    </row>
    <row r="824">
      <c r="A824" s="1" t="s">
        <v>2521</v>
      </c>
      <c r="B824" s="2">
        <f t="shared" si="1"/>
        <v>46152</v>
      </c>
      <c r="C824" s="1" t="s">
        <v>2522</v>
      </c>
      <c r="D824" s="3" t="str">
        <f t="shared" si="2"/>
        <v>SOBI</v>
      </c>
      <c r="E824" s="3" t="str">
        <f t="shared" si="3"/>
        <v>KARNATAKA</v>
      </c>
      <c r="F824" s="3" t="str">
        <f t="shared" si="4"/>
        <v>BANGALURU</v>
      </c>
      <c r="G824" s="1" t="s">
        <v>2523</v>
      </c>
      <c r="H824" s="3" t="str">
        <f t="shared" si="5"/>
        <v>HOME &amp; KITCHEN</v>
      </c>
      <c r="I824" s="3" t="str">
        <f t="shared" si="6"/>
        <v>MIXER GRAINDER</v>
      </c>
      <c r="J824" s="3">
        <f t="shared" si="7"/>
        <v>4</v>
      </c>
      <c r="K824" s="3">
        <f t="shared" si="8"/>
        <v>325</v>
      </c>
      <c r="L824" s="4">
        <f t="shared" si="9"/>
        <v>0.2</v>
      </c>
      <c r="M824" s="3">
        <f t="shared" si="10"/>
        <v>1040</v>
      </c>
      <c r="N824" s="3">
        <f t="shared" si="11"/>
        <v>728</v>
      </c>
      <c r="O824" s="3">
        <f t="shared" si="12"/>
        <v>312</v>
      </c>
      <c r="P824" s="3" t="str">
        <f t="shared" si="13"/>
        <v>COD</v>
      </c>
      <c r="Q824" s="3" t="str">
        <f t="shared" si="14"/>
        <v>CANCELLED</v>
      </c>
    </row>
    <row r="825">
      <c r="A825" s="1" t="s">
        <v>2524</v>
      </c>
      <c r="B825" s="2">
        <f t="shared" si="1"/>
        <v>46368</v>
      </c>
      <c r="C825" s="1" t="s">
        <v>2525</v>
      </c>
      <c r="D825" s="3" t="str">
        <f t="shared" si="2"/>
        <v>SUJI</v>
      </c>
      <c r="E825" s="3" t="str">
        <f t="shared" si="3"/>
        <v>ANDHRA PRADESH</v>
      </c>
      <c r="F825" s="3" t="str">
        <f t="shared" si="4"/>
        <v>TIRUPATI</v>
      </c>
      <c r="G825" s="1" t="s">
        <v>2526</v>
      </c>
      <c r="H825" s="3" t="str">
        <f t="shared" si="5"/>
        <v>BOOKS</v>
      </c>
      <c r="I825" s="3" t="str">
        <f t="shared" si="6"/>
        <v>LIFE OF PI</v>
      </c>
      <c r="J825" s="3">
        <f t="shared" si="7"/>
        <v>3</v>
      </c>
      <c r="K825" s="3">
        <f t="shared" si="8"/>
        <v>302</v>
      </c>
      <c r="L825" s="4">
        <f t="shared" si="9"/>
        <v>0</v>
      </c>
      <c r="M825" s="3">
        <f t="shared" si="10"/>
        <v>906</v>
      </c>
      <c r="N825" s="3">
        <f t="shared" si="11"/>
        <v>634</v>
      </c>
      <c r="O825" s="3">
        <f t="shared" si="12"/>
        <v>272</v>
      </c>
      <c r="P825" s="3" t="str">
        <f t="shared" si="13"/>
        <v>NET BANKING</v>
      </c>
      <c r="Q825" s="3" t="str">
        <f t="shared" si="14"/>
        <v>RETURNED</v>
      </c>
    </row>
    <row r="826">
      <c r="A826" s="1" t="s">
        <v>2527</v>
      </c>
      <c r="B826" s="2">
        <f t="shared" si="1"/>
        <v>46285</v>
      </c>
      <c r="C826" s="1" t="s">
        <v>2528</v>
      </c>
      <c r="D826" s="3" t="str">
        <f t="shared" si="2"/>
        <v>RATHA</v>
      </c>
      <c r="E826" s="3" t="str">
        <f t="shared" si="3"/>
        <v>TELUGANA</v>
      </c>
      <c r="F826" s="3" t="str">
        <f t="shared" si="4"/>
        <v>HYDERABAD</v>
      </c>
      <c r="G826" s="1" t="s">
        <v>2529</v>
      </c>
      <c r="H826" s="3" t="str">
        <f t="shared" si="5"/>
        <v>ACCESSORIES</v>
      </c>
      <c r="I826" s="3" t="str">
        <f t="shared" si="6"/>
        <v>EARRINGS</v>
      </c>
      <c r="J826" s="3">
        <f t="shared" si="7"/>
        <v>2</v>
      </c>
      <c r="K826" s="3">
        <f t="shared" si="8"/>
        <v>496</v>
      </c>
      <c r="L826" s="4">
        <f t="shared" si="9"/>
        <v>0.5</v>
      </c>
      <c r="M826" s="3">
        <f t="shared" si="10"/>
        <v>496</v>
      </c>
      <c r="N826" s="3">
        <f t="shared" si="11"/>
        <v>347</v>
      </c>
      <c r="O826" s="3">
        <f t="shared" si="12"/>
        <v>149</v>
      </c>
      <c r="P826" s="3" t="str">
        <f t="shared" si="13"/>
        <v>WALLET</v>
      </c>
      <c r="Q826" s="3" t="str">
        <f t="shared" si="14"/>
        <v>DELIVERED</v>
      </c>
    </row>
    <row r="827">
      <c r="A827" s="1" t="s">
        <v>2530</v>
      </c>
      <c r="B827" s="2">
        <f t="shared" si="1"/>
        <v>46074</v>
      </c>
      <c r="C827" s="1" t="s">
        <v>2531</v>
      </c>
      <c r="D827" s="3" t="str">
        <f t="shared" si="2"/>
        <v>SUSA</v>
      </c>
      <c r="E827" s="3" t="str">
        <f t="shared" si="3"/>
        <v>UTTHRA PRADESH</v>
      </c>
      <c r="F827" s="3" t="str">
        <f t="shared" si="4"/>
        <v>LUCKNOW</v>
      </c>
      <c r="G827" s="1" t="s">
        <v>2532</v>
      </c>
      <c r="H827" s="3" t="str">
        <f t="shared" si="5"/>
        <v>ELECTRONICS</v>
      </c>
      <c r="I827" s="3" t="str">
        <f t="shared" si="6"/>
        <v>WIRELESS EARBUDS</v>
      </c>
      <c r="J827" s="3">
        <f t="shared" si="7"/>
        <v>2</v>
      </c>
      <c r="K827" s="3">
        <f t="shared" si="8"/>
        <v>542</v>
      </c>
      <c r="L827" s="4">
        <f t="shared" si="9"/>
        <v>0.2</v>
      </c>
      <c r="M827" s="3">
        <f t="shared" si="10"/>
        <v>867.2</v>
      </c>
      <c r="N827" s="3">
        <f t="shared" si="11"/>
        <v>607</v>
      </c>
      <c r="O827" s="3">
        <f t="shared" si="12"/>
        <v>260</v>
      </c>
      <c r="P827" s="3" t="str">
        <f t="shared" si="13"/>
        <v>UPI</v>
      </c>
      <c r="Q827" s="3" t="str">
        <f t="shared" si="14"/>
        <v>SHIPPED</v>
      </c>
    </row>
    <row r="828">
      <c r="A828" s="1" t="s">
        <v>2533</v>
      </c>
      <c r="B828" s="2">
        <f t="shared" si="1"/>
        <v>46273</v>
      </c>
      <c r="C828" s="1" t="s">
        <v>2534</v>
      </c>
      <c r="D828" s="3" t="str">
        <f t="shared" si="2"/>
        <v>NIVE</v>
      </c>
      <c r="E828" s="3" t="str">
        <f t="shared" si="3"/>
        <v>GUJARAT</v>
      </c>
      <c r="F828" s="3" t="str">
        <f t="shared" si="4"/>
        <v>SURAT</v>
      </c>
      <c r="G828" s="1" t="s">
        <v>2535</v>
      </c>
      <c r="H828" s="3" t="str">
        <f t="shared" si="5"/>
        <v>SPORTS</v>
      </c>
      <c r="I828" s="3" t="str">
        <f t="shared" si="6"/>
        <v>FOOTBALL</v>
      </c>
      <c r="J828" s="3">
        <f t="shared" si="7"/>
        <v>1</v>
      </c>
      <c r="K828" s="3">
        <f t="shared" si="8"/>
        <v>199</v>
      </c>
      <c r="L828" s="4">
        <f t="shared" si="9"/>
        <v>0</v>
      </c>
      <c r="M828" s="3">
        <f t="shared" si="10"/>
        <v>199</v>
      </c>
      <c r="N828" s="3">
        <f t="shared" si="11"/>
        <v>139</v>
      </c>
      <c r="O828" s="3">
        <f t="shared" si="12"/>
        <v>60</v>
      </c>
      <c r="P828" s="3" t="str">
        <f t="shared" si="13"/>
        <v>CARD</v>
      </c>
      <c r="Q828" s="3" t="str">
        <f t="shared" si="14"/>
        <v>CANCELLED</v>
      </c>
    </row>
    <row r="829">
      <c r="A829" s="1" t="s">
        <v>2536</v>
      </c>
      <c r="B829" s="2">
        <f t="shared" si="1"/>
        <v>46035</v>
      </c>
      <c r="C829" s="1" t="s">
        <v>2537</v>
      </c>
      <c r="D829" s="3" t="str">
        <f t="shared" si="2"/>
        <v>VINO</v>
      </c>
      <c r="E829" s="3" t="str">
        <f t="shared" si="3"/>
        <v>RAJASTHAN</v>
      </c>
      <c r="F829" s="3" t="str">
        <f t="shared" si="4"/>
        <v>JAIPUR</v>
      </c>
      <c r="G829" s="1" t="s">
        <v>2538</v>
      </c>
      <c r="H829" s="3" t="str">
        <f t="shared" si="5"/>
        <v>FOOD</v>
      </c>
      <c r="I829" s="3" t="str">
        <f t="shared" si="6"/>
        <v>BIRIYANI</v>
      </c>
      <c r="J829" s="3">
        <f t="shared" si="7"/>
        <v>1</v>
      </c>
      <c r="K829" s="3">
        <f t="shared" si="8"/>
        <v>488</v>
      </c>
      <c r="L829" s="4">
        <f t="shared" si="9"/>
        <v>0.2</v>
      </c>
      <c r="M829" s="3">
        <f t="shared" si="10"/>
        <v>390.4</v>
      </c>
      <c r="N829" s="3">
        <f t="shared" si="11"/>
        <v>273</v>
      </c>
      <c r="O829" s="3">
        <f t="shared" si="12"/>
        <v>117</v>
      </c>
      <c r="P829" s="3" t="str">
        <f t="shared" si="13"/>
        <v>COD</v>
      </c>
      <c r="Q829" s="3" t="str">
        <f t="shared" si="14"/>
        <v>RETURNED</v>
      </c>
    </row>
    <row r="830">
      <c r="A830" s="1" t="s">
        <v>2539</v>
      </c>
      <c r="B830" s="2">
        <f t="shared" si="1"/>
        <v>46296</v>
      </c>
      <c r="C830" s="1" t="s">
        <v>2540</v>
      </c>
      <c r="D830" s="3" t="str">
        <f t="shared" si="2"/>
        <v>ABI</v>
      </c>
      <c r="E830" s="3" t="str">
        <f t="shared" si="3"/>
        <v>WEST BENGAL</v>
      </c>
      <c r="F830" s="3" t="str">
        <f t="shared" si="4"/>
        <v>KOLKATA</v>
      </c>
      <c r="G830" s="1" t="s">
        <v>2541</v>
      </c>
      <c r="H830" s="3" t="str">
        <f t="shared" si="5"/>
        <v>DRESS</v>
      </c>
      <c r="I830" s="3" t="str">
        <f t="shared" si="6"/>
        <v>WOMEN WAERS</v>
      </c>
      <c r="J830" s="3">
        <f t="shared" si="7"/>
        <v>4</v>
      </c>
      <c r="K830" s="3">
        <f t="shared" si="8"/>
        <v>581</v>
      </c>
      <c r="L830" s="4">
        <f t="shared" si="9"/>
        <v>0.17</v>
      </c>
      <c r="M830" s="3">
        <f t="shared" si="10"/>
        <v>1928.92</v>
      </c>
      <c r="N830" s="3">
        <f t="shared" si="11"/>
        <v>1350</v>
      </c>
      <c r="O830" s="3">
        <f t="shared" si="12"/>
        <v>579</v>
      </c>
      <c r="P830" s="3" t="str">
        <f t="shared" si="13"/>
        <v>NET BANKING</v>
      </c>
      <c r="Q830" s="3" t="str">
        <f t="shared" si="14"/>
        <v>DELIVERED</v>
      </c>
    </row>
    <row r="831">
      <c r="A831" s="1" t="s">
        <v>2542</v>
      </c>
      <c r="B831" s="2">
        <f t="shared" si="1"/>
        <v>46137</v>
      </c>
      <c r="C831" s="1" t="s">
        <v>2543</v>
      </c>
      <c r="D831" s="3" t="str">
        <f t="shared" si="2"/>
        <v>NIHAAR</v>
      </c>
      <c r="E831" s="3" t="str">
        <f t="shared" si="3"/>
        <v>MAGARASTRA</v>
      </c>
      <c r="F831" s="3" t="str">
        <f t="shared" si="4"/>
        <v>PUNE</v>
      </c>
      <c r="G831" s="1" t="s">
        <v>2544</v>
      </c>
      <c r="H831" s="3" t="str">
        <f t="shared" si="5"/>
        <v>BEAUTY</v>
      </c>
      <c r="I831" s="3" t="str">
        <f t="shared" si="6"/>
        <v>KAJAL</v>
      </c>
      <c r="J831" s="3">
        <f t="shared" si="7"/>
        <v>1</v>
      </c>
      <c r="K831" s="3">
        <f t="shared" si="8"/>
        <v>164</v>
      </c>
      <c r="L831" s="4">
        <f t="shared" si="9"/>
        <v>0.2</v>
      </c>
      <c r="M831" s="3">
        <f t="shared" si="10"/>
        <v>131.2</v>
      </c>
      <c r="N831" s="3">
        <f t="shared" si="11"/>
        <v>92</v>
      </c>
      <c r="O831" s="3">
        <f t="shared" si="12"/>
        <v>39</v>
      </c>
      <c r="P831" s="3" t="str">
        <f t="shared" si="13"/>
        <v>WALLET</v>
      </c>
      <c r="Q831" s="3" t="str">
        <f t="shared" si="14"/>
        <v>SHIPPED</v>
      </c>
    </row>
    <row r="832">
      <c r="A832" s="1" t="s">
        <v>2545</v>
      </c>
      <c r="B832" s="2">
        <f t="shared" si="1"/>
        <v>46318</v>
      </c>
      <c r="C832" s="1" t="s">
        <v>2546</v>
      </c>
      <c r="D832" s="3" t="str">
        <f t="shared" si="2"/>
        <v>SRI</v>
      </c>
      <c r="E832" s="3" t="str">
        <f t="shared" si="3"/>
        <v>TAMILNADU</v>
      </c>
      <c r="F832" s="3" t="str">
        <f t="shared" si="4"/>
        <v>THOOTHUKUDI</v>
      </c>
      <c r="G832" s="1" t="s">
        <v>2547</v>
      </c>
      <c r="H832" s="3" t="str">
        <f t="shared" si="5"/>
        <v>HOME &amp; KITCHEN</v>
      </c>
      <c r="I832" s="3" t="str">
        <f t="shared" si="6"/>
        <v>MIXER GRAINDER</v>
      </c>
      <c r="J832" s="3">
        <f t="shared" si="7"/>
        <v>1</v>
      </c>
      <c r="K832" s="3">
        <f t="shared" si="8"/>
        <v>263</v>
      </c>
      <c r="L832" s="4">
        <f t="shared" si="9"/>
        <v>0.5</v>
      </c>
      <c r="M832" s="3">
        <f t="shared" si="10"/>
        <v>131.5</v>
      </c>
      <c r="N832" s="3">
        <f t="shared" si="11"/>
        <v>92</v>
      </c>
      <c r="O832" s="3">
        <f t="shared" si="12"/>
        <v>40</v>
      </c>
      <c r="P832" s="3" t="str">
        <f t="shared" si="13"/>
        <v>UPI</v>
      </c>
      <c r="Q832" s="3" t="str">
        <f t="shared" si="14"/>
        <v>CANCELLED</v>
      </c>
    </row>
    <row r="833">
      <c r="A833" s="1" t="s">
        <v>2548</v>
      </c>
      <c r="B833" s="2">
        <f t="shared" si="1"/>
        <v>46298</v>
      </c>
      <c r="C833" s="1" t="s">
        <v>2549</v>
      </c>
      <c r="D833" s="3" t="str">
        <f t="shared" si="2"/>
        <v>SHOBN</v>
      </c>
      <c r="E833" s="3" t="str">
        <f t="shared" si="3"/>
        <v>KERALA</v>
      </c>
      <c r="F833" s="3" t="str">
        <f t="shared" si="4"/>
        <v>KOCHI</v>
      </c>
      <c r="G833" s="1" t="s">
        <v>2550</v>
      </c>
      <c r="H833" s="3" t="str">
        <f t="shared" si="5"/>
        <v>BOOKS</v>
      </c>
      <c r="I833" s="3" t="str">
        <f t="shared" si="6"/>
        <v>LIFE OF PI</v>
      </c>
      <c r="J833" s="3">
        <f t="shared" si="7"/>
        <v>1</v>
      </c>
      <c r="K833" s="3">
        <f t="shared" si="8"/>
        <v>256</v>
      </c>
      <c r="L833" s="4">
        <f t="shared" si="9"/>
        <v>0.5</v>
      </c>
      <c r="M833" s="3">
        <f t="shared" si="10"/>
        <v>128</v>
      </c>
      <c r="N833" s="3">
        <f t="shared" si="11"/>
        <v>90</v>
      </c>
      <c r="O833" s="3">
        <f t="shared" si="12"/>
        <v>38</v>
      </c>
      <c r="P833" s="3" t="str">
        <f t="shared" si="13"/>
        <v>CARD</v>
      </c>
      <c r="Q833" s="3" t="str">
        <f t="shared" si="14"/>
        <v>RETURNED</v>
      </c>
    </row>
    <row r="834">
      <c r="A834" s="1" t="s">
        <v>2551</v>
      </c>
      <c r="B834" s="2">
        <f t="shared" si="1"/>
        <v>46124</v>
      </c>
      <c r="C834" s="1" t="s">
        <v>2552</v>
      </c>
      <c r="D834" s="3" t="str">
        <f t="shared" si="2"/>
        <v>SOBI</v>
      </c>
      <c r="E834" s="3" t="str">
        <f t="shared" si="3"/>
        <v>KARNATAKA</v>
      </c>
      <c r="F834" s="3" t="str">
        <f t="shared" si="4"/>
        <v>BANGALURU</v>
      </c>
      <c r="G834" s="1" t="s">
        <v>2553</v>
      </c>
      <c r="H834" s="3" t="str">
        <f t="shared" si="5"/>
        <v>ACCESSORIES</v>
      </c>
      <c r="I834" s="3" t="str">
        <f t="shared" si="6"/>
        <v>EARRINGS</v>
      </c>
      <c r="J834" s="3">
        <f t="shared" si="7"/>
        <v>2</v>
      </c>
      <c r="K834" s="3">
        <f t="shared" si="8"/>
        <v>496</v>
      </c>
      <c r="L834" s="4">
        <f t="shared" si="9"/>
        <v>0.5</v>
      </c>
      <c r="M834" s="3">
        <f t="shared" si="10"/>
        <v>496</v>
      </c>
      <c r="N834" s="3">
        <f t="shared" si="11"/>
        <v>347</v>
      </c>
      <c r="O834" s="3">
        <f t="shared" si="12"/>
        <v>149</v>
      </c>
      <c r="P834" s="3" t="str">
        <f t="shared" si="13"/>
        <v>COD</v>
      </c>
      <c r="Q834" s="3" t="str">
        <f t="shared" si="14"/>
        <v>DELIVERED</v>
      </c>
    </row>
    <row r="835">
      <c r="A835" s="1" t="s">
        <v>2554</v>
      </c>
      <c r="B835" s="2">
        <f t="shared" si="1"/>
        <v>46233</v>
      </c>
      <c r="C835" s="1" t="s">
        <v>2555</v>
      </c>
      <c r="D835" s="3" t="str">
        <f t="shared" si="2"/>
        <v>SUJI</v>
      </c>
      <c r="E835" s="3" t="str">
        <f t="shared" si="3"/>
        <v>ANDHRA PRADESH</v>
      </c>
      <c r="F835" s="3" t="str">
        <f t="shared" si="4"/>
        <v>TIRUPATI</v>
      </c>
      <c r="G835" s="1" t="s">
        <v>2556</v>
      </c>
      <c r="H835" s="3" t="str">
        <f t="shared" si="5"/>
        <v>ELECTRONICS</v>
      </c>
      <c r="I835" s="3" t="str">
        <f t="shared" si="6"/>
        <v>WIRELESS EARBUDS</v>
      </c>
      <c r="J835" s="3">
        <f t="shared" si="7"/>
        <v>4</v>
      </c>
      <c r="K835" s="3">
        <f t="shared" si="8"/>
        <v>346</v>
      </c>
      <c r="L835" s="4">
        <f t="shared" si="9"/>
        <v>0.15</v>
      </c>
      <c r="M835" s="3">
        <f t="shared" si="10"/>
        <v>1176.4</v>
      </c>
      <c r="N835" s="3">
        <f t="shared" si="11"/>
        <v>823</v>
      </c>
      <c r="O835" s="3">
        <f t="shared" si="12"/>
        <v>353</v>
      </c>
      <c r="P835" s="3" t="str">
        <f t="shared" si="13"/>
        <v>NET BANKING</v>
      </c>
      <c r="Q835" s="3" t="str">
        <f t="shared" si="14"/>
        <v>SHIPPED</v>
      </c>
    </row>
    <row r="836">
      <c r="A836" s="1" t="s">
        <v>2557</v>
      </c>
      <c r="B836" s="2">
        <f t="shared" si="1"/>
        <v>46307</v>
      </c>
      <c r="C836" s="1" t="s">
        <v>2558</v>
      </c>
      <c r="D836" s="3" t="str">
        <f t="shared" si="2"/>
        <v>RATHA</v>
      </c>
      <c r="E836" s="3" t="str">
        <f t="shared" si="3"/>
        <v>TELUGANA</v>
      </c>
      <c r="F836" s="3" t="str">
        <f t="shared" si="4"/>
        <v>HYDERABAD</v>
      </c>
      <c r="G836" s="1" t="s">
        <v>2559</v>
      </c>
      <c r="H836" s="3" t="str">
        <f t="shared" si="5"/>
        <v>SPORTS</v>
      </c>
      <c r="I836" s="3" t="str">
        <f t="shared" si="6"/>
        <v>FOOTBALL</v>
      </c>
      <c r="J836" s="3">
        <f t="shared" si="7"/>
        <v>1</v>
      </c>
      <c r="K836" s="3">
        <f t="shared" si="8"/>
        <v>333</v>
      </c>
      <c r="L836" s="4">
        <f t="shared" si="9"/>
        <v>0.5</v>
      </c>
      <c r="M836" s="3">
        <f t="shared" si="10"/>
        <v>166.5</v>
      </c>
      <c r="N836" s="3">
        <f t="shared" si="11"/>
        <v>117</v>
      </c>
      <c r="O836" s="3">
        <f t="shared" si="12"/>
        <v>50</v>
      </c>
      <c r="P836" s="3" t="str">
        <f t="shared" si="13"/>
        <v>WALLET</v>
      </c>
      <c r="Q836" s="3" t="str">
        <f t="shared" si="14"/>
        <v>CANCELLED</v>
      </c>
    </row>
    <row r="837">
      <c r="A837" s="1" t="s">
        <v>2560</v>
      </c>
      <c r="B837" s="2">
        <f t="shared" si="1"/>
        <v>46061</v>
      </c>
      <c r="C837" s="1" t="s">
        <v>2561</v>
      </c>
      <c r="D837" s="3" t="str">
        <f t="shared" si="2"/>
        <v>SUSA</v>
      </c>
      <c r="E837" s="3" t="str">
        <f t="shared" si="3"/>
        <v>UTTHRA PRADESH</v>
      </c>
      <c r="F837" s="3" t="str">
        <f t="shared" si="4"/>
        <v>LUCKNOW</v>
      </c>
      <c r="G837" s="1" t="s">
        <v>2562</v>
      </c>
      <c r="H837" s="3" t="str">
        <f t="shared" si="5"/>
        <v>FOOD</v>
      </c>
      <c r="I837" s="3" t="str">
        <f t="shared" si="6"/>
        <v>BIRIYANI</v>
      </c>
      <c r="J837" s="3">
        <f t="shared" si="7"/>
        <v>4</v>
      </c>
      <c r="K837" s="3">
        <f t="shared" si="8"/>
        <v>314</v>
      </c>
      <c r="L837" s="4">
        <f t="shared" si="9"/>
        <v>0.5</v>
      </c>
      <c r="M837" s="3">
        <f t="shared" si="10"/>
        <v>628</v>
      </c>
      <c r="N837" s="3">
        <f t="shared" si="11"/>
        <v>440</v>
      </c>
      <c r="O837" s="3">
        <f t="shared" si="12"/>
        <v>188</v>
      </c>
      <c r="P837" s="3" t="str">
        <f t="shared" si="13"/>
        <v>UPI</v>
      </c>
      <c r="Q837" s="3" t="str">
        <f t="shared" si="14"/>
        <v>RETURNED</v>
      </c>
    </row>
    <row r="838">
      <c r="A838" s="1" t="s">
        <v>2563</v>
      </c>
      <c r="B838" s="2">
        <f t="shared" si="1"/>
        <v>46120</v>
      </c>
      <c r="C838" s="1" t="s">
        <v>2564</v>
      </c>
      <c r="D838" s="3" t="str">
        <f t="shared" si="2"/>
        <v>NIVE</v>
      </c>
      <c r="E838" s="3" t="str">
        <f t="shared" si="3"/>
        <v>GUJARAT</v>
      </c>
      <c r="F838" s="3" t="str">
        <f t="shared" si="4"/>
        <v>SURAT</v>
      </c>
      <c r="G838" s="1" t="s">
        <v>2565</v>
      </c>
      <c r="H838" s="3" t="str">
        <f t="shared" si="5"/>
        <v>DRESS</v>
      </c>
      <c r="I838" s="3" t="str">
        <f t="shared" si="6"/>
        <v>WOMEN WAERS</v>
      </c>
      <c r="J838" s="3">
        <f t="shared" si="7"/>
        <v>3</v>
      </c>
      <c r="K838" s="3">
        <f t="shared" si="8"/>
        <v>473</v>
      </c>
      <c r="L838" s="4">
        <f t="shared" si="9"/>
        <v>0.2</v>
      </c>
      <c r="M838" s="3">
        <f t="shared" si="10"/>
        <v>1135.2</v>
      </c>
      <c r="N838" s="3">
        <f t="shared" si="11"/>
        <v>795</v>
      </c>
      <c r="O838" s="3">
        <f t="shared" si="12"/>
        <v>340</v>
      </c>
      <c r="P838" s="3" t="str">
        <f t="shared" si="13"/>
        <v>CARD</v>
      </c>
      <c r="Q838" s="3" t="str">
        <f t="shared" si="14"/>
        <v>DELIVERED</v>
      </c>
    </row>
    <row r="839">
      <c r="A839" s="1" t="s">
        <v>2566</v>
      </c>
      <c r="B839" s="2">
        <f t="shared" si="1"/>
        <v>46198</v>
      </c>
      <c r="C839" s="1" t="s">
        <v>2567</v>
      </c>
      <c r="D839" s="3" t="str">
        <f t="shared" si="2"/>
        <v>VINO</v>
      </c>
      <c r="E839" s="3" t="str">
        <f t="shared" si="3"/>
        <v>RAJASTHAN</v>
      </c>
      <c r="F839" s="3" t="str">
        <f t="shared" si="4"/>
        <v>JAIPUR</v>
      </c>
      <c r="G839" s="1" t="s">
        <v>2568</v>
      </c>
      <c r="H839" s="3" t="str">
        <f t="shared" si="5"/>
        <v>BEAUTY</v>
      </c>
      <c r="I839" s="3" t="str">
        <f t="shared" si="6"/>
        <v>KAJAL</v>
      </c>
      <c r="J839" s="3">
        <f t="shared" si="7"/>
        <v>2</v>
      </c>
      <c r="K839" s="3">
        <f t="shared" si="8"/>
        <v>191</v>
      </c>
      <c r="L839" s="4">
        <f t="shared" si="9"/>
        <v>0.5</v>
      </c>
      <c r="M839" s="3">
        <f t="shared" si="10"/>
        <v>191</v>
      </c>
      <c r="N839" s="3">
        <f t="shared" si="11"/>
        <v>134</v>
      </c>
      <c r="O839" s="3">
        <f t="shared" si="12"/>
        <v>57</v>
      </c>
      <c r="P839" s="3" t="str">
        <f t="shared" si="13"/>
        <v>COD</v>
      </c>
      <c r="Q839" s="3" t="str">
        <f t="shared" si="14"/>
        <v>SHIPPED</v>
      </c>
    </row>
    <row r="840">
      <c r="A840" s="1" t="s">
        <v>2569</v>
      </c>
      <c r="B840" s="2">
        <f t="shared" si="1"/>
        <v>46337</v>
      </c>
      <c r="C840" s="1" t="s">
        <v>2570</v>
      </c>
      <c r="D840" s="3" t="str">
        <f t="shared" si="2"/>
        <v>ABI</v>
      </c>
      <c r="E840" s="3" t="str">
        <f t="shared" si="3"/>
        <v>WEST BENGAL</v>
      </c>
      <c r="F840" s="3" t="str">
        <f t="shared" si="4"/>
        <v>KOLKATA</v>
      </c>
      <c r="G840" s="1" t="s">
        <v>2571</v>
      </c>
      <c r="H840" s="3" t="str">
        <f t="shared" si="5"/>
        <v>HOME &amp; KITCHEN</v>
      </c>
      <c r="I840" s="3" t="str">
        <f t="shared" si="6"/>
        <v>MIXER GRAINDER</v>
      </c>
      <c r="J840" s="3">
        <f t="shared" si="7"/>
        <v>1</v>
      </c>
      <c r="K840" s="3">
        <f t="shared" si="8"/>
        <v>546</v>
      </c>
      <c r="L840" s="4">
        <f t="shared" si="9"/>
        <v>0.15</v>
      </c>
      <c r="M840" s="3">
        <f t="shared" si="10"/>
        <v>464.1</v>
      </c>
      <c r="N840" s="3">
        <f t="shared" si="11"/>
        <v>325</v>
      </c>
      <c r="O840" s="3">
        <f t="shared" si="12"/>
        <v>139</v>
      </c>
      <c r="P840" s="3" t="str">
        <f t="shared" si="13"/>
        <v>NET BANKING</v>
      </c>
      <c r="Q840" s="3" t="str">
        <f t="shared" si="14"/>
        <v>CANCELLED</v>
      </c>
    </row>
    <row r="841">
      <c r="A841" s="1" t="s">
        <v>2572</v>
      </c>
      <c r="B841" s="2">
        <f t="shared" si="1"/>
        <v>46285</v>
      </c>
      <c r="C841" s="1" t="s">
        <v>2573</v>
      </c>
      <c r="D841" s="3" t="str">
        <f t="shared" si="2"/>
        <v>NIHAAR</v>
      </c>
      <c r="E841" s="3" t="str">
        <f t="shared" si="3"/>
        <v>MAGARASTRA</v>
      </c>
      <c r="F841" s="3" t="str">
        <f t="shared" si="4"/>
        <v>PUNE</v>
      </c>
      <c r="G841" s="1" t="s">
        <v>2574</v>
      </c>
      <c r="H841" s="3" t="str">
        <f t="shared" si="5"/>
        <v>BOOKS</v>
      </c>
      <c r="I841" s="3" t="str">
        <f t="shared" si="6"/>
        <v>LIFE OF PI</v>
      </c>
      <c r="J841" s="3">
        <f t="shared" si="7"/>
        <v>3</v>
      </c>
      <c r="K841" s="3">
        <f t="shared" si="8"/>
        <v>151</v>
      </c>
      <c r="L841" s="4">
        <f t="shared" si="9"/>
        <v>0.2</v>
      </c>
      <c r="M841" s="3">
        <f t="shared" si="10"/>
        <v>362.4</v>
      </c>
      <c r="N841" s="3">
        <f t="shared" si="11"/>
        <v>254</v>
      </c>
      <c r="O841" s="3">
        <f t="shared" si="12"/>
        <v>108</v>
      </c>
      <c r="P841" s="3" t="str">
        <f t="shared" si="13"/>
        <v>WALLET</v>
      </c>
      <c r="Q841" s="3" t="str">
        <f t="shared" si="14"/>
        <v>RETURNED</v>
      </c>
    </row>
    <row r="842">
      <c r="A842" s="1" t="s">
        <v>2575</v>
      </c>
      <c r="B842" s="2">
        <f t="shared" si="1"/>
        <v>46083</v>
      </c>
      <c r="C842" s="1" t="s">
        <v>2576</v>
      </c>
      <c r="D842" s="3" t="str">
        <f t="shared" si="2"/>
        <v>SRI</v>
      </c>
      <c r="E842" s="3" t="str">
        <f t="shared" si="3"/>
        <v>TAMILNADU</v>
      </c>
      <c r="F842" s="3" t="str">
        <f t="shared" si="4"/>
        <v>THOOTHUKUDI</v>
      </c>
      <c r="G842" s="1" t="s">
        <v>2577</v>
      </c>
      <c r="H842" s="3" t="str">
        <f t="shared" si="5"/>
        <v>ACCESSORIES</v>
      </c>
      <c r="I842" s="3" t="str">
        <f t="shared" si="6"/>
        <v>EARRINGS</v>
      </c>
      <c r="J842" s="3">
        <f t="shared" si="7"/>
        <v>3</v>
      </c>
      <c r="K842" s="3">
        <f t="shared" si="8"/>
        <v>292</v>
      </c>
      <c r="L842" s="4">
        <f t="shared" si="9"/>
        <v>0</v>
      </c>
      <c r="M842" s="3">
        <f t="shared" si="10"/>
        <v>876</v>
      </c>
      <c r="N842" s="3">
        <f t="shared" si="11"/>
        <v>613</v>
      </c>
      <c r="O842" s="3">
        <f t="shared" si="12"/>
        <v>263</v>
      </c>
      <c r="P842" s="3" t="str">
        <f t="shared" si="13"/>
        <v>UPI</v>
      </c>
      <c r="Q842" s="3" t="str">
        <f t="shared" si="14"/>
        <v>DELIVERED</v>
      </c>
    </row>
    <row r="843">
      <c r="A843" s="1" t="s">
        <v>2578</v>
      </c>
      <c r="B843" s="2">
        <f t="shared" si="1"/>
        <v>46044</v>
      </c>
      <c r="C843" s="1" t="s">
        <v>2579</v>
      </c>
      <c r="D843" s="3" t="str">
        <f t="shared" si="2"/>
        <v>SHOBN</v>
      </c>
      <c r="E843" s="3" t="str">
        <f t="shared" si="3"/>
        <v>KERALA</v>
      </c>
      <c r="F843" s="3" t="str">
        <f t="shared" si="4"/>
        <v>KOCHI</v>
      </c>
      <c r="G843" s="1" t="s">
        <v>2580</v>
      </c>
      <c r="H843" s="3" t="str">
        <f t="shared" si="5"/>
        <v>ELECTRONICS</v>
      </c>
      <c r="I843" s="3" t="str">
        <f t="shared" si="6"/>
        <v>WIRELESS EARBUDS</v>
      </c>
      <c r="J843" s="3">
        <f t="shared" si="7"/>
        <v>4</v>
      </c>
      <c r="K843" s="3">
        <f t="shared" si="8"/>
        <v>437</v>
      </c>
      <c r="L843" s="4">
        <f t="shared" si="9"/>
        <v>0.2</v>
      </c>
      <c r="M843" s="3">
        <f t="shared" si="10"/>
        <v>1398.4</v>
      </c>
      <c r="N843" s="3">
        <f t="shared" si="11"/>
        <v>979</v>
      </c>
      <c r="O843" s="3">
        <f t="shared" si="12"/>
        <v>419</v>
      </c>
      <c r="P843" s="3" t="str">
        <f t="shared" si="13"/>
        <v>CARD</v>
      </c>
      <c r="Q843" s="3" t="str">
        <f t="shared" si="14"/>
        <v>SHIPPED</v>
      </c>
    </row>
    <row r="844">
      <c r="A844" s="1" t="s">
        <v>2581</v>
      </c>
      <c r="B844" s="2">
        <f t="shared" si="1"/>
        <v>46238</v>
      </c>
      <c r="C844" s="1" t="s">
        <v>2582</v>
      </c>
      <c r="D844" s="3" t="str">
        <f t="shared" si="2"/>
        <v>SOBI</v>
      </c>
      <c r="E844" s="3" t="str">
        <f t="shared" si="3"/>
        <v>KARNATAKA</v>
      </c>
      <c r="F844" s="3" t="str">
        <f t="shared" si="4"/>
        <v>BANGALURU</v>
      </c>
      <c r="G844" s="1" t="s">
        <v>2583</v>
      </c>
      <c r="H844" s="3" t="str">
        <f t="shared" si="5"/>
        <v>SPORTS</v>
      </c>
      <c r="I844" s="3" t="str">
        <f t="shared" si="6"/>
        <v>FOOTBALL</v>
      </c>
      <c r="J844" s="3">
        <f t="shared" si="7"/>
        <v>4</v>
      </c>
      <c r="K844" s="3">
        <f t="shared" si="8"/>
        <v>119</v>
      </c>
      <c r="L844" s="4">
        <f t="shared" si="9"/>
        <v>0.1</v>
      </c>
      <c r="M844" s="3">
        <f t="shared" si="10"/>
        <v>428.4</v>
      </c>
      <c r="N844" s="3">
        <f t="shared" si="11"/>
        <v>300</v>
      </c>
      <c r="O844" s="3">
        <f t="shared" si="12"/>
        <v>128</v>
      </c>
      <c r="P844" s="3" t="str">
        <f t="shared" si="13"/>
        <v>COD</v>
      </c>
      <c r="Q844" s="3" t="str">
        <f t="shared" si="14"/>
        <v>CANCELLED</v>
      </c>
    </row>
    <row r="845">
      <c r="A845" s="1" t="s">
        <v>2584</v>
      </c>
      <c r="B845" s="2">
        <f t="shared" si="1"/>
        <v>46246</v>
      </c>
      <c r="C845" s="1" t="s">
        <v>2585</v>
      </c>
      <c r="D845" s="3" t="str">
        <f t="shared" si="2"/>
        <v>SUJI</v>
      </c>
      <c r="E845" s="3" t="str">
        <f t="shared" si="3"/>
        <v>ANDHRA PRADESH</v>
      </c>
      <c r="F845" s="3" t="str">
        <f t="shared" si="4"/>
        <v>TIRUPATI</v>
      </c>
      <c r="G845" s="1" t="s">
        <v>2586</v>
      </c>
      <c r="H845" s="3" t="str">
        <f t="shared" si="5"/>
        <v>FOOD</v>
      </c>
      <c r="I845" s="3" t="str">
        <f t="shared" si="6"/>
        <v>BIRIYANI</v>
      </c>
      <c r="J845" s="3">
        <f t="shared" si="7"/>
        <v>2</v>
      </c>
      <c r="K845" s="3">
        <f t="shared" si="8"/>
        <v>527</v>
      </c>
      <c r="L845" s="4">
        <f t="shared" si="9"/>
        <v>0.5</v>
      </c>
      <c r="M845" s="3">
        <f t="shared" si="10"/>
        <v>527</v>
      </c>
      <c r="N845" s="3">
        <f t="shared" si="11"/>
        <v>369</v>
      </c>
      <c r="O845" s="3">
        <f t="shared" si="12"/>
        <v>158</v>
      </c>
      <c r="P845" s="3" t="str">
        <f t="shared" si="13"/>
        <v>NET BANKING</v>
      </c>
      <c r="Q845" s="3" t="str">
        <f t="shared" si="14"/>
        <v>RETURNED</v>
      </c>
    </row>
    <row r="846">
      <c r="A846" s="1" t="s">
        <v>2587</v>
      </c>
      <c r="B846" s="2">
        <f t="shared" si="1"/>
        <v>46273</v>
      </c>
      <c r="C846" s="1" t="s">
        <v>2588</v>
      </c>
      <c r="D846" s="3" t="str">
        <f t="shared" si="2"/>
        <v>RATHA</v>
      </c>
      <c r="E846" s="3" t="str">
        <f t="shared" si="3"/>
        <v>TELUGANA</v>
      </c>
      <c r="F846" s="3" t="str">
        <f t="shared" si="4"/>
        <v>HYDERABAD</v>
      </c>
      <c r="G846" s="1" t="s">
        <v>2589</v>
      </c>
      <c r="H846" s="3" t="str">
        <f t="shared" si="5"/>
        <v>DRESS</v>
      </c>
      <c r="I846" s="3" t="str">
        <f t="shared" si="6"/>
        <v>WOMEN WAERS</v>
      </c>
      <c r="J846" s="3">
        <f t="shared" si="7"/>
        <v>5</v>
      </c>
      <c r="K846" s="3">
        <f t="shared" si="8"/>
        <v>552</v>
      </c>
      <c r="L846" s="4">
        <f t="shared" si="9"/>
        <v>0.5</v>
      </c>
      <c r="M846" s="3">
        <f t="shared" si="10"/>
        <v>1380</v>
      </c>
      <c r="N846" s="3">
        <f t="shared" si="11"/>
        <v>966</v>
      </c>
      <c r="O846" s="3">
        <f t="shared" si="12"/>
        <v>414</v>
      </c>
      <c r="P846" s="3" t="str">
        <f t="shared" si="13"/>
        <v>WALLET</v>
      </c>
      <c r="Q846" s="3" t="str">
        <f t="shared" si="14"/>
        <v>DELIVERED</v>
      </c>
    </row>
    <row r="847">
      <c r="A847" s="1" t="s">
        <v>2590</v>
      </c>
      <c r="B847" s="2">
        <f t="shared" si="1"/>
        <v>46251</v>
      </c>
      <c r="C847" s="1" t="s">
        <v>2591</v>
      </c>
      <c r="D847" s="3" t="str">
        <f t="shared" si="2"/>
        <v>SUSA</v>
      </c>
      <c r="E847" s="3" t="str">
        <f t="shared" si="3"/>
        <v>UTTHRA PRADESH</v>
      </c>
      <c r="F847" s="3" t="str">
        <f t="shared" si="4"/>
        <v>LUCKNOW</v>
      </c>
      <c r="G847" s="1" t="s">
        <v>2592</v>
      </c>
      <c r="H847" s="3" t="str">
        <f t="shared" si="5"/>
        <v>BEAUTY</v>
      </c>
      <c r="I847" s="3" t="str">
        <f t="shared" si="6"/>
        <v>KAJAL</v>
      </c>
      <c r="J847" s="3">
        <f t="shared" si="7"/>
        <v>3</v>
      </c>
      <c r="K847" s="3">
        <f t="shared" si="8"/>
        <v>524</v>
      </c>
      <c r="L847" s="4">
        <f t="shared" si="9"/>
        <v>0.5</v>
      </c>
      <c r="M847" s="3">
        <f t="shared" si="10"/>
        <v>786</v>
      </c>
      <c r="N847" s="3">
        <f t="shared" si="11"/>
        <v>550</v>
      </c>
      <c r="O847" s="3">
        <f t="shared" si="12"/>
        <v>236</v>
      </c>
      <c r="P847" s="3" t="str">
        <f t="shared" si="13"/>
        <v>UPI</v>
      </c>
      <c r="Q847" s="3" t="str">
        <f t="shared" si="14"/>
        <v>SHIPPED</v>
      </c>
    </row>
    <row r="848">
      <c r="A848" s="1" t="s">
        <v>2593</v>
      </c>
      <c r="B848" s="2">
        <f t="shared" si="1"/>
        <v>46359</v>
      </c>
      <c r="C848" s="1" t="s">
        <v>2594</v>
      </c>
      <c r="D848" s="3" t="str">
        <f t="shared" si="2"/>
        <v>NIVE</v>
      </c>
      <c r="E848" s="3" t="str">
        <f t="shared" si="3"/>
        <v>GUJARAT</v>
      </c>
      <c r="F848" s="3" t="str">
        <f t="shared" si="4"/>
        <v>SURAT</v>
      </c>
      <c r="G848" s="1" t="s">
        <v>2595</v>
      </c>
      <c r="H848" s="3" t="str">
        <f t="shared" si="5"/>
        <v>HOME &amp; KITCHEN</v>
      </c>
      <c r="I848" s="3" t="str">
        <f t="shared" si="6"/>
        <v>MIXER GRAINDER</v>
      </c>
      <c r="J848" s="3">
        <f t="shared" si="7"/>
        <v>1</v>
      </c>
      <c r="K848" s="3">
        <f t="shared" si="8"/>
        <v>506</v>
      </c>
      <c r="L848" s="4">
        <f t="shared" si="9"/>
        <v>0.5</v>
      </c>
      <c r="M848" s="3">
        <f t="shared" si="10"/>
        <v>253</v>
      </c>
      <c r="N848" s="3">
        <f t="shared" si="11"/>
        <v>177</v>
      </c>
      <c r="O848" s="3">
        <f t="shared" si="12"/>
        <v>76</v>
      </c>
      <c r="P848" s="3" t="str">
        <f t="shared" si="13"/>
        <v>CARD</v>
      </c>
      <c r="Q848" s="3" t="str">
        <f t="shared" si="14"/>
        <v>CANCELLED</v>
      </c>
    </row>
    <row r="849">
      <c r="A849" s="1" t="s">
        <v>2596</v>
      </c>
      <c r="B849" s="2">
        <f t="shared" si="1"/>
        <v>46242</v>
      </c>
      <c r="C849" s="1" t="s">
        <v>2597</v>
      </c>
      <c r="D849" s="3" t="str">
        <f t="shared" si="2"/>
        <v>VINO</v>
      </c>
      <c r="E849" s="3" t="str">
        <f t="shared" si="3"/>
        <v>RAJASTHAN</v>
      </c>
      <c r="F849" s="3" t="str">
        <f t="shared" si="4"/>
        <v>JAIPUR</v>
      </c>
      <c r="G849" s="1" t="s">
        <v>2598</v>
      </c>
      <c r="H849" s="3" t="str">
        <f t="shared" si="5"/>
        <v>BOOKS</v>
      </c>
      <c r="I849" s="3" t="str">
        <f t="shared" si="6"/>
        <v>LIFE OF PI</v>
      </c>
      <c r="J849" s="3">
        <f t="shared" si="7"/>
        <v>5</v>
      </c>
      <c r="K849" s="3">
        <f t="shared" si="8"/>
        <v>454</v>
      </c>
      <c r="L849" s="4">
        <f t="shared" si="9"/>
        <v>0.5</v>
      </c>
      <c r="M849" s="3">
        <f t="shared" si="10"/>
        <v>1135</v>
      </c>
      <c r="N849" s="3">
        <f t="shared" si="11"/>
        <v>795</v>
      </c>
      <c r="O849" s="3">
        <f t="shared" si="12"/>
        <v>340</v>
      </c>
      <c r="P849" s="3" t="str">
        <f t="shared" si="13"/>
        <v>COD</v>
      </c>
      <c r="Q849" s="3" t="str">
        <f t="shared" si="14"/>
        <v>RETURNED</v>
      </c>
    </row>
    <row r="850">
      <c r="A850" s="1" t="s">
        <v>2599</v>
      </c>
      <c r="B850" s="2">
        <f t="shared" si="1"/>
        <v>46160</v>
      </c>
      <c r="C850" s="1" t="s">
        <v>2600</v>
      </c>
      <c r="D850" s="3" t="str">
        <f t="shared" si="2"/>
        <v>ABI</v>
      </c>
      <c r="E850" s="3" t="str">
        <f t="shared" si="3"/>
        <v>WEST BENGAL</v>
      </c>
      <c r="F850" s="3" t="str">
        <f t="shared" si="4"/>
        <v>KOLKATA</v>
      </c>
      <c r="G850" s="1" t="s">
        <v>2601</v>
      </c>
      <c r="H850" s="3" t="str">
        <f t="shared" si="5"/>
        <v>ACCESSORIES</v>
      </c>
      <c r="I850" s="3" t="str">
        <f t="shared" si="6"/>
        <v>EARRINGS</v>
      </c>
      <c r="J850" s="3">
        <f t="shared" si="7"/>
        <v>3</v>
      </c>
      <c r="K850" s="3">
        <f t="shared" si="8"/>
        <v>147</v>
      </c>
      <c r="L850" s="4">
        <f t="shared" si="9"/>
        <v>0</v>
      </c>
      <c r="M850" s="3">
        <f t="shared" si="10"/>
        <v>441</v>
      </c>
      <c r="N850" s="3">
        <f t="shared" si="11"/>
        <v>309</v>
      </c>
      <c r="O850" s="3">
        <f t="shared" si="12"/>
        <v>132</v>
      </c>
      <c r="P850" s="3" t="str">
        <f t="shared" si="13"/>
        <v>NET BANKING</v>
      </c>
      <c r="Q850" s="3" t="str">
        <f t="shared" si="14"/>
        <v>DELIVERED</v>
      </c>
    </row>
    <row r="851">
      <c r="A851" s="1" t="s">
        <v>2602</v>
      </c>
      <c r="B851" s="2">
        <f t="shared" si="1"/>
        <v>46165</v>
      </c>
      <c r="C851" s="1" t="s">
        <v>2603</v>
      </c>
      <c r="D851" s="3" t="str">
        <f t="shared" si="2"/>
        <v>NIHAAR</v>
      </c>
      <c r="E851" s="3" t="str">
        <f t="shared" si="3"/>
        <v>MAGARASTRA</v>
      </c>
      <c r="F851" s="3" t="str">
        <f t="shared" si="4"/>
        <v>PUNE</v>
      </c>
      <c r="G851" s="1" t="s">
        <v>2604</v>
      </c>
      <c r="H851" s="3" t="str">
        <f t="shared" si="5"/>
        <v>ELECTRONICS</v>
      </c>
      <c r="I851" s="3" t="str">
        <f t="shared" si="6"/>
        <v>WIRELESS EARBUDS</v>
      </c>
      <c r="J851" s="3">
        <f t="shared" si="7"/>
        <v>4</v>
      </c>
      <c r="K851" s="3">
        <f t="shared" si="8"/>
        <v>371</v>
      </c>
      <c r="L851" s="4">
        <f t="shared" si="9"/>
        <v>0.2</v>
      </c>
      <c r="M851" s="3">
        <f t="shared" si="10"/>
        <v>1187.2</v>
      </c>
      <c r="N851" s="3">
        <f t="shared" si="11"/>
        <v>831</v>
      </c>
      <c r="O851" s="3">
        <f t="shared" si="12"/>
        <v>356</v>
      </c>
      <c r="P851" s="3" t="str">
        <f t="shared" si="13"/>
        <v>WALLET</v>
      </c>
      <c r="Q851" s="3" t="str">
        <f t="shared" si="14"/>
        <v>SHIPPED</v>
      </c>
    </row>
    <row r="852">
      <c r="A852" s="1" t="s">
        <v>2605</v>
      </c>
      <c r="B852" s="2">
        <f t="shared" si="1"/>
        <v>46195</v>
      </c>
      <c r="C852" s="1" t="s">
        <v>2606</v>
      </c>
      <c r="D852" s="3" t="str">
        <f t="shared" si="2"/>
        <v>SRI</v>
      </c>
      <c r="E852" s="3" t="str">
        <f t="shared" si="3"/>
        <v>TAMILNADU</v>
      </c>
      <c r="F852" s="3" t="str">
        <f t="shared" si="4"/>
        <v>THOOTHUKUDI</v>
      </c>
      <c r="G852" s="1" t="s">
        <v>2607</v>
      </c>
      <c r="H852" s="3" t="str">
        <f t="shared" si="5"/>
        <v>SPORTS</v>
      </c>
      <c r="I852" s="3" t="str">
        <f t="shared" si="6"/>
        <v>FOOTBALL</v>
      </c>
      <c r="J852" s="3">
        <f t="shared" si="7"/>
        <v>1</v>
      </c>
      <c r="K852" s="3">
        <f t="shared" si="8"/>
        <v>405</v>
      </c>
      <c r="L852" s="4">
        <f t="shared" si="9"/>
        <v>0.17</v>
      </c>
      <c r="M852" s="3">
        <f t="shared" si="10"/>
        <v>336.15</v>
      </c>
      <c r="N852" s="3">
        <f t="shared" si="11"/>
        <v>235</v>
      </c>
      <c r="O852" s="3">
        <f t="shared" si="12"/>
        <v>101</v>
      </c>
      <c r="P852" s="3" t="str">
        <f t="shared" si="13"/>
        <v>UPI</v>
      </c>
      <c r="Q852" s="3" t="str">
        <f t="shared" si="14"/>
        <v>CANCELLED</v>
      </c>
    </row>
    <row r="853">
      <c r="A853" s="1" t="s">
        <v>2608</v>
      </c>
      <c r="B853" s="2">
        <f t="shared" si="1"/>
        <v>46261</v>
      </c>
      <c r="C853" s="1" t="s">
        <v>2609</v>
      </c>
      <c r="D853" s="3" t="str">
        <f t="shared" si="2"/>
        <v>SHOBN</v>
      </c>
      <c r="E853" s="3" t="str">
        <f t="shared" si="3"/>
        <v>KERALA</v>
      </c>
      <c r="F853" s="3" t="str">
        <f t="shared" si="4"/>
        <v>KOCHI</v>
      </c>
      <c r="G853" s="1" t="s">
        <v>2610</v>
      </c>
      <c r="H853" s="3" t="str">
        <f t="shared" si="5"/>
        <v>FOOD</v>
      </c>
      <c r="I853" s="3" t="str">
        <f t="shared" si="6"/>
        <v>BIRIYANI</v>
      </c>
      <c r="J853" s="3">
        <f t="shared" si="7"/>
        <v>5</v>
      </c>
      <c r="K853" s="3">
        <f t="shared" si="8"/>
        <v>283</v>
      </c>
      <c r="L853" s="4">
        <f t="shared" si="9"/>
        <v>0.15</v>
      </c>
      <c r="M853" s="3">
        <f t="shared" si="10"/>
        <v>1202.75</v>
      </c>
      <c r="N853" s="3">
        <f t="shared" si="11"/>
        <v>842</v>
      </c>
      <c r="O853" s="3">
        <f t="shared" si="12"/>
        <v>361</v>
      </c>
      <c r="P853" s="3" t="str">
        <f t="shared" si="13"/>
        <v>CARD</v>
      </c>
      <c r="Q853" s="3" t="str">
        <f t="shared" si="14"/>
        <v>RETURNED</v>
      </c>
    </row>
    <row r="854">
      <c r="A854" s="1" t="s">
        <v>2611</v>
      </c>
      <c r="B854" s="2">
        <f t="shared" si="1"/>
        <v>46084</v>
      </c>
      <c r="C854" s="1" t="s">
        <v>2612</v>
      </c>
      <c r="D854" s="3" t="str">
        <f t="shared" si="2"/>
        <v>SOBI</v>
      </c>
      <c r="E854" s="3" t="str">
        <f t="shared" si="3"/>
        <v>KARNATAKA</v>
      </c>
      <c r="F854" s="3" t="str">
        <f t="shared" si="4"/>
        <v>BANGALURU</v>
      </c>
      <c r="G854" s="1" t="s">
        <v>2613</v>
      </c>
      <c r="H854" s="3" t="str">
        <f t="shared" si="5"/>
        <v>DRESS</v>
      </c>
      <c r="I854" s="3" t="str">
        <f t="shared" si="6"/>
        <v>WOMEN WAERS</v>
      </c>
      <c r="J854" s="3">
        <f t="shared" si="7"/>
        <v>5</v>
      </c>
      <c r="K854" s="3">
        <f t="shared" si="8"/>
        <v>367</v>
      </c>
      <c r="L854" s="4">
        <f t="shared" si="9"/>
        <v>0.17</v>
      </c>
      <c r="M854" s="3">
        <f t="shared" si="10"/>
        <v>1523.05</v>
      </c>
      <c r="N854" s="3">
        <f t="shared" si="11"/>
        <v>1066</v>
      </c>
      <c r="O854" s="3">
        <f t="shared" si="12"/>
        <v>457</v>
      </c>
      <c r="P854" s="3" t="str">
        <f t="shared" si="13"/>
        <v>COD</v>
      </c>
      <c r="Q854" s="3" t="str">
        <f t="shared" si="14"/>
        <v>DELIVERED</v>
      </c>
    </row>
    <row r="855">
      <c r="A855" s="1" t="s">
        <v>2614</v>
      </c>
      <c r="B855" s="2">
        <f t="shared" si="1"/>
        <v>46230</v>
      </c>
      <c r="C855" s="1" t="s">
        <v>2615</v>
      </c>
      <c r="D855" s="3" t="str">
        <f t="shared" si="2"/>
        <v>SUJI</v>
      </c>
      <c r="E855" s="3" t="str">
        <f t="shared" si="3"/>
        <v>ANDHRA PRADESH</v>
      </c>
      <c r="F855" s="3" t="str">
        <f t="shared" si="4"/>
        <v>TIRUPATI</v>
      </c>
      <c r="G855" s="1" t="s">
        <v>2616</v>
      </c>
      <c r="H855" s="3" t="str">
        <f t="shared" si="5"/>
        <v>BEAUTY</v>
      </c>
      <c r="I855" s="3" t="str">
        <f t="shared" si="6"/>
        <v>KAJAL</v>
      </c>
      <c r="J855" s="3">
        <f t="shared" si="7"/>
        <v>5</v>
      </c>
      <c r="K855" s="3">
        <f t="shared" si="8"/>
        <v>576</v>
      </c>
      <c r="L855" s="4">
        <f t="shared" si="9"/>
        <v>0</v>
      </c>
      <c r="M855" s="3">
        <f t="shared" si="10"/>
        <v>2880</v>
      </c>
      <c r="N855" s="3">
        <f t="shared" si="11"/>
        <v>2016</v>
      </c>
      <c r="O855" s="3">
        <f t="shared" si="12"/>
        <v>864</v>
      </c>
      <c r="P855" s="3" t="str">
        <f t="shared" si="13"/>
        <v>NET BANKING</v>
      </c>
      <c r="Q855" s="3" t="str">
        <f t="shared" si="14"/>
        <v>SHIPPED</v>
      </c>
    </row>
    <row r="856">
      <c r="A856" s="1" t="s">
        <v>2617</v>
      </c>
      <c r="B856" s="2">
        <f t="shared" si="1"/>
        <v>46204</v>
      </c>
      <c r="C856" s="1" t="s">
        <v>2618</v>
      </c>
      <c r="D856" s="3" t="str">
        <f t="shared" si="2"/>
        <v>RATHA</v>
      </c>
      <c r="E856" s="3" t="str">
        <f t="shared" si="3"/>
        <v>TELUGANA</v>
      </c>
      <c r="F856" s="3" t="str">
        <f t="shared" si="4"/>
        <v>HYDERABAD</v>
      </c>
      <c r="G856" s="1" t="s">
        <v>2619</v>
      </c>
      <c r="H856" s="3" t="str">
        <f t="shared" si="5"/>
        <v>HOME &amp; KITCHEN</v>
      </c>
      <c r="I856" s="3" t="str">
        <f t="shared" si="6"/>
        <v>MIXER GRAINDER</v>
      </c>
      <c r="J856" s="3">
        <f t="shared" si="7"/>
        <v>1</v>
      </c>
      <c r="K856" s="3">
        <f t="shared" si="8"/>
        <v>569</v>
      </c>
      <c r="L856" s="4">
        <f t="shared" si="9"/>
        <v>0.5</v>
      </c>
      <c r="M856" s="3">
        <f t="shared" si="10"/>
        <v>284.5</v>
      </c>
      <c r="N856" s="3">
        <f t="shared" si="11"/>
        <v>199</v>
      </c>
      <c r="O856" s="3">
        <f t="shared" si="12"/>
        <v>86</v>
      </c>
      <c r="P856" s="3" t="str">
        <f t="shared" si="13"/>
        <v>WALLET</v>
      </c>
      <c r="Q856" s="3" t="str">
        <f t="shared" si="14"/>
        <v>CANCELLED</v>
      </c>
    </row>
    <row r="857">
      <c r="A857" s="1" t="s">
        <v>2620</v>
      </c>
      <c r="B857" s="2">
        <f t="shared" si="1"/>
        <v>46336</v>
      </c>
      <c r="C857" s="1" t="s">
        <v>2621</v>
      </c>
      <c r="D857" s="3" t="str">
        <f t="shared" si="2"/>
        <v>SUSA</v>
      </c>
      <c r="E857" s="3" t="str">
        <f t="shared" si="3"/>
        <v>UTTHRA PRADESH</v>
      </c>
      <c r="F857" s="3" t="str">
        <f t="shared" si="4"/>
        <v>LUCKNOW</v>
      </c>
      <c r="G857" s="1" t="s">
        <v>2622</v>
      </c>
      <c r="H857" s="3" t="str">
        <f t="shared" si="5"/>
        <v>BOOKS</v>
      </c>
      <c r="I857" s="3" t="str">
        <f t="shared" si="6"/>
        <v>LIFE OF PI</v>
      </c>
      <c r="J857" s="3">
        <f t="shared" si="7"/>
        <v>3</v>
      </c>
      <c r="K857" s="3">
        <f t="shared" si="8"/>
        <v>484</v>
      </c>
      <c r="L857" s="4">
        <f t="shared" si="9"/>
        <v>0.2</v>
      </c>
      <c r="M857" s="3">
        <f t="shared" si="10"/>
        <v>1161.6</v>
      </c>
      <c r="N857" s="3">
        <f t="shared" si="11"/>
        <v>813</v>
      </c>
      <c r="O857" s="3">
        <f t="shared" si="12"/>
        <v>349</v>
      </c>
      <c r="P857" s="3" t="str">
        <f t="shared" si="13"/>
        <v>UPI</v>
      </c>
      <c r="Q857" s="3" t="str">
        <f t="shared" si="14"/>
        <v>RETURNED</v>
      </c>
    </row>
    <row r="858">
      <c r="A858" s="1" t="s">
        <v>2623</v>
      </c>
      <c r="B858" s="2">
        <f t="shared" si="1"/>
        <v>46267</v>
      </c>
      <c r="C858" s="1" t="s">
        <v>2624</v>
      </c>
      <c r="D858" s="3" t="str">
        <f t="shared" si="2"/>
        <v>NIVE</v>
      </c>
      <c r="E858" s="3" t="str">
        <f t="shared" si="3"/>
        <v>GUJARAT</v>
      </c>
      <c r="F858" s="3" t="str">
        <f t="shared" si="4"/>
        <v>SURAT</v>
      </c>
      <c r="G858" s="1" t="s">
        <v>2625</v>
      </c>
      <c r="H858" s="3" t="str">
        <f t="shared" si="5"/>
        <v>ACCESSORIES</v>
      </c>
      <c r="I858" s="3" t="str">
        <f t="shared" si="6"/>
        <v>EARRINGS</v>
      </c>
      <c r="J858" s="3">
        <f t="shared" si="7"/>
        <v>4</v>
      </c>
      <c r="K858" s="3">
        <f t="shared" si="8"/>
        <v>245</v>
      </c>
      <c r="L858" s="4">
        <f t="shared" si="9"/>
        <v>0.5</v>
      </c>
      <c r="M858" s="3">
        <f t="shared" si="10"/>
        <v>490</v>
      </c>
      <c r="N858" s="3">
        <f t="shared" si="11"/>
        <v>343</v>
      </c>
      <c r="O858" s="3">
        <f t="shared" si="12"/>
        <v>147</v>
      </c>
      <c r="P858" s="3" t="str">
        <f t="shared" si="13"/>
        <v>CARD</v>
      </c>
      <c r="Q858" s="3" t="str">
        <f t="shared" si="14"/>
        <v>DELIVERED</v>
      </c>
    </row>
    <row r="859">
      <c r="A859" s="1" t="s">
        <v>2626</v>
      </c>
      <c r="B859" s="2">
        <f t="shared" si="1"/>
        <v>46199</v>
      </c>
      <c r="C859" s="1" t="s">
        <v>2627</v>
      </c>
      <c r="D859" s="3" t="str">
        <f t="shared" si="2"/>
        <v>VINO</v>
      </c>
      <c r="E859" s="3" t="str">
        <f t="shared" si="3"/>
        <v>RAJASTHAN</v>
      </c>
      <c r="F859" s="3" t="str">
        <f t="shared" si="4"/>
        <v>JAIPUR</v>
      </c>
      <c r="G859" s="1" t="s">
        <v>2628</v>
      </c>
      <c r="H859" s="3" t="str">
        <f t="shared" si="5"/>
        <v>ELECTRONICS</v>
      </c>
      <c r="I859" s="3" t="str">
        <f t="shared" si="6"/>
        <v>WIRELESS EARBUDS</v>
      </c>
      <c r="J859" s="3">
        <f t="shared" si="7"/>
        <v>1</v>
      </c>
      <c r="K859" s="3">
        <f t="shared" si="8"/>
        <v>297</v>
      </c>
      <c r="L859" s="4">
        <f t="shared" si="9"/>
        <v>0.2</v>
      </c>
      <c r="M859" s="3">
        <f t="shared" si="10"/>
        <v>237.6</v>
      </c>
      <c r="N859" s="3">
        <f t="shared" si="11"/>
        <v>166</v>
      </c>
      <c r="O859" s="3">
        <f t="shared" si="12"/>
        <v>72</v>
      </c>
      <c r="P859" s="3" t="str">
        <f t="shared" si="13"/>
        <v>COD</v>
      </c>
      <c r="Q859" s="3" t="str">
        <f t="shared" si="14"/>
        <v>SHIPPED</v>
      </c>
    </row>
    <row r="860">
      <c r="A860" s="1" t="s">
        <v>2629</v>
      </c>
      <c r="B860" s="2">
        <f t="shared" si="1"/>
        <v>46061</v>
      </c>
      <c r="C860" s="1" t="s">
        <v>2630</v>
      </c>
      <c r="D860" s="3" t="str">
        <f t="shared" si="2"/>
        <v>ABI</v>
      </c>
      <c r="E860" s="3" t="str">
        <f t="shared" si="3"/>
        <v>WEST BENGAL</v>
      </c>
      <c r="F860" s="3" t="str">
        <f t="shared" si="4"/>
        <v>KOLKATA</v>
      </c>
      <c r="G860" s="1" t="s">
        <v>2631</v>
      </c>
      <c r="H860" s="3" t="str">
        <f t="shared" si="5"/>
        <v>SPORTS</v>
      </c>
      <c r="I860" s="3" t="str">
        <f t="shared" si="6"/>
        <v>FOOTBALL</v>
      </c>
      <c r="J860" s="3">
        <f t="shared" si="7"/>
        <v>3</v>
      </c>
      <c r="K860" s="3">
        <f t="shared" si="8"/>
        <v>498</v>
      </c>
      <c r="L860" s="4">
        <f t="shared" si="9"/>
        <v>0</v>
      </c>
      <c r="M860" s="3">
        <f t="shared" si="10"/>
        <v>1494</v>
      </c>
      <c r="N860" s="3">
        <f t="shared" si="11"/>
        <v>1046</v>
      </c>
      <c r="O860" s="3">
        <f t="shared" si="12"/>
        <v>448</v>
      </c>
      <c r="P860" s="3" t="str">
        <f t="shared" si="13"/>
        <v>NET BANKING</v>
      </c>
      <c r="Q860" s="3" t="str">
        <f t="shared" si="14"/>
        <v>CANCELLED</v>
      </c>
    </row>
    <row r="861">
      <c r="A861" s="1" t="s">
        <v>2632</v>
      </c>
      <c r="B861" s="2">
        <f t="shared" si="1"/>
        <v>46100</v>
      </c>
      <c r="C861" s="1" t="s">
        <v>2633</v>
      </c>
      <c r="D861" s="3" t="str">
        <f t="shared" si="2"/>
        <v>NIHAAR</v>
      </c>
      <c r="E861" s="3" t="str">
        <f t="shared" si="3"/>
        <v>MAGARASTRA</v>
      </c>
      <c r="F861" s="3" t="str">
        <f t="shared" si="4"/>
        <v>PUNE</v>
      </c>
      <c r="G861" s="1" t="s">
        <v>2634</v>
      </c>
      <c r="H861" s="3" t="str">
        <f t="shared" si="5"/>
        <v>FOOD</v>
      </c>
      <c r="I861" s="3" t="str">
        <f t="shared" si="6"/>
        <v>BIRIYANI</v>
      </c>
      <c r="J861" s="3">
        <f t="shared" si="7"/>
        <v>5</v>
      </c>
      <c r="K861" s="3">
        <f t="shared" si="8"/>
        <v>425</v>
      </c>
      <c r="L861" s="4">
        <f t="shared" si="9"/>
        <v>0.17</v>
      </c>
      <c r="M861" s="3">
        <f t="shared" si="10"/>
        <v>1763.75</v>
      </c>
      <c r="N861" s="3">
        <f t="shared" si="11"/>
        <v>1235</v>
      </c>
      <c r="O861" s="3">
        <f t="shared" si="12"/>
        <v>529</v>
      </c>
      <c r="P861" s="3" t="str">
        <f t="shared" si="13"/>
        <v>WALLET</v>
      </c>
      <c r="Q861" s="3" t="str">
        <f t="shared" si="14"/>
        <v>RETURNED</v>
      </c>
    </row>
    <row r="862">
      <c r="A862" s="1" t="s">
        <v>2635</v>
      </c>
      <c r="B862" s="2">
        <f t="shared" si="1"/>
        <v>46373</v>
      </c>
      <c r="C862" s="1" t="s">
        <v>2636</v>
      </c>
      <c r="D862" s="3" t="str">
        <f t="shared" si="2"/>
        <v>SRI</v>
      </c>
      <c r="E862" s="3" t="str">
        <f t="shared" si="3"/>
        <v>TAMILNADU</v>
      </c>
      <c r="F862" s="3" t="str">
        <f t="shared" si="4"/>
        <v>THOOTHUKUDI</v>
      </c>
      <c r="G862" s="1" t="s">
        <v>2637</v>
      </c>
      <c r="H862" s="3" t="str">
        <f t="shared" si="5"/>
        <v>DRESS</v>
      </c>
      <c r="I862" s="3" t="str">
        <f t="shared" si="6"/>
        <v>WOMEN WAERS</v>
      </c>
      <c r="J862" s="3">
        <f t="shared" si="7"/>
        <v>1</v>
      </c>
      <c r="K862" s="3">
        <f t="shared" si="8"/>
        <v>487</v>
      </c>
      <c r="L862" s="4">
        <f t="shared" si="9"/>
        <v>0</v>
      </c>
      <c r="M862" s="3">
        <f t="shared" si="10"/>
        <v>487</v>
      </c>
      <c r="N862" s="3">
        <f t="shared" si="11"/>
        <v>341</v>
      </c>
      <c r="O862" s="3">
        <f t="shared" si="12"/>
        <v>146</v>
      </c>
      <c r="P862" s="3" t="str">
        <f t="shared" si="13"/>
        <v>UPI</v>
      </c>
      <c r="Q862" s="3" t="str">
        <f t="shared" si="14"/>
        <v>DELIVERED</v>
      </c>
    </row>
    <row r="863">
      <c r="A863" s="1" t="s">
        <v>2638</v>
      </c>
      <c r="B863" s="2">
        <f t="shared" si="1"/>
        <v>46225</v>
      </c>
      <c r="C863" s="1" t="s">
        <v>2639</v>
      </c>
      <c r="D863" s="3" t="str">
        <f t="shared" si="2"/>
        <v>SHOBN</v>
      </c>
      <c r="E863" s="3" t="str">
        <f t="shared" si="3"/>
        <v>KERALA</v>
      </c>
      <c r="F863" s="3" t="str">
        <f t="shared" si="4"/>
        <v>KOCHI</v>
      </c>
      <c r="G863" s="1" t="s">
        <v>2640</v>
      </c>
      <c r="H863" s="3" t="str">
        <f t="shared" si="5"/>
        <v>BEAUTY</v>
      </c>
      <c r="I863" s="3" t="str">
        <f t="shared" si="6"/>
        <v>KAJAL</v>
      </c>
      <c r="J863" s="3">
        <f t="shared" si="7"/>
        <v>5</v>
      </c>
      <c r="K863" s="3">
        <f t="shared" si="8"/>
        <v>174</v>
      </c>
      <c r="L863" s="4">
        <f t="shared" si="9"/>
        <v>0.17</v>
      </c>
      <c r="M863" s="3">
        <f t="shared" si="10"/>
        <v>722.1</v>
      </c>
      <c r="N863" s="3">
        <f t="shared" si="11"/>
        <v>505</v>
      </c>
      <c r="O863" s="3">
        <f t="shared" si="12"/>
        <v>217</v>
      </c>
      <c r="P863" s="3" t="str">
        <f t="shared" si="13"/>
        <v>CARD</v>
      </c>
      <c r="Q863" s="3" t="str">
        <f t="shared" si="14"/>
        <v>SHIPPED</v>
      </c>
    </row>
    <row r="864">
      <c r="A864" s="1" t="s">
        <v>2641</v>
      </c>
      <c r="B864" s="2">
        <f t="shared" si="1"/>
        <v>46209</v>
      </c>
      <c r="C864" s="1" t="s">
        <v>2642</v>
      </c>
      <c r="D864" s="3" t="str">
        <f t="shared" si="2"/>
        <v>SOBI</v>
      </c>
      <c r="E864" s="3" t="str">
        <f t="shared" si="3"/>
        <v>KARNATAKA</v>
      </c>
      <c r="F864" s="3" t="str">
        <f t="shared" si="4"/>
        <v>BANGALURU</v>
      </c>
      <c r="G864" s="1" t="s">
        <v>2643</v>
      </c>
      <c r="H864" s="3" t="str">
        <f t="shared" si="5"/>
        <v>HOME &amp; KITCHEN</v>
      </c>
      <c r="I864" s="3" t="str">
        <f t="shared" si="6"/>
        <v>MIXER GRAINDER</v>
      </c>
      <c r="J864" s="3">
        <f t="shared" si="7"/>
        <v>2</v>
      </c>
      <c r="K864" s="3">
        <f t="shared" si="8"/>
        <v>377</v>
      </c>
      <c r="L864" s="4">
        <f t="shared" si="9"/>
        <v>0.5</v>
      </c>
      <c r="M864" s="3">
        <f t="shared" si="10"/>
        <v>377</v>
      </c>
      <c r="N864" s="3">
        <f t="shared" si="11"/>
        <v>264</v>
      </c>
      <c r="O864" s="3">
        <f t="shared" si="12"/>
        <v>113</v>
      </c>
      <c r="P864" s="3" t="str">
        <f t="shared" si="13"/>
        <v>COD</v>
      </c>
      <c r="Q864" s="3" t="str">
        <f t="shared" si="14"/>
        <v>CANCELLED</v>
      </c>
    </row>
    <row r="865">
      <c r="A865" s="1" t="s">
        <v>2644</v>
      </c>
      <c r="B865" s="2">
        <f t="shared" si="1"/>
        <v>46382</v>
      </c>
      <c r="C865" s="1" t="s">
        <v>2645</v>
      </c>
      <c r="D865" s="3" t="str">
        <f t="shared" si="2"/>
        <v>SUJI</v>
      </c>
      <c r="E865" s="3" t="str">
        <f t="shared" si="3"/>
        <v>ANDHRA PRADESH</v>
      </c>
      <c r="F865" s="3" t="str">
        <f t="shared" si="4"/>
        <v>TIRUPATI</v>
      </c>
      <c r="G865" s="1" t="s">
        <v>2646</v>
      </c>
      <c r="H865" s="3" t="str">
        <f t="shared" si="5"/>
        <v>BOOKS</v>
      </c>
      <c r="I865" s="3" t="str">
        <f t="shared" si="6"/>
        <v>LIFE OF PI</v>
      </c>
      <c r="J865" s="3">
        <f t="shared" si="7"/>
        <v>3</v>
      </c>
      <c r="K865" s="3">
        <f t="shared" si="8"/>
        <v>527</v>
      </c>
      <c r="L865" s="4">
        <f t="shared" si="9"/>
        <v>0</v>
      </c>
      <c r="M865" s="3">
        <f t="shared" si="10"/>
        <v>1581</v>
      </c>
      <c r="N865" s="3">
        <f t="shared" si="11"/>
        <v>1107</v>
      </c>
      <c r="O865" s="3">
        <f t="shared" si="12"/>
        <v>474</v>
      </c>
      <c r="P865" s="3" t="str">
        <f t="shared" si="13"/>
        <v>NET BANKING</v>
      </c>
      <c r="Q865" s="3" t="str">
        <f t="shared" si="14"/>
        <v>RETURNED</v>
      </c>
    </row>
    <row r="866">
      <c r="A866" s="1" t="s">
        <v>2647</v>
      </c>
      <c r="B866" s="2">
        <f t="shared" si="1"/>
        <v>46310</v>
      </c>
      <c r="C866" s="1" t="s">
        <v>2648</v>
      </c>
      <c r="D866" s="3" t="str">
        <f t="shared" si="2"/>
        <v>RATHA</v>
      </c>
      <c r="E866" s="3" t="str">
        <f t="shared" si="3"/>
        <v>TELUGANA</v>
      </c>
      <c r="F866" s="3" t="str">
        <f t="shared" si="4"/>
        <v>HYDERABAD</v>
      </c>
      <c r="G866" s="1" t="s">
        <v>2649</v>
      </c>
      <c r="H866" s="3" t="str">
        <f t="shared" si="5"/>
        <v>ACCESSORIES</v>
      </c>
      <c r="I866" s="3" t="str">
        <f t="shared" si="6"/>
        <v>EARRINGS</v>
      </c>
      <c r="J866" s="3">
        <f t="shared" si="7"/>
        <v>2</v>
      </c>
      <c r="K866" s="3">
        <f t="shared" si="8"/>
        <v>276</v>
      </c>
      <c r="L866" s="4">
        <f t="shared" si="9"/>
        <v>0.5</v>
      </c>
      <c r="M866" s="3">
        <f t="shared" si="10"/>
        <v>276</v>
      </c>
      <c r="N866" s="3">
        <f t="shared" si="11"/>
        <v>193</v>
      </c>
      <c r="O866" s="3">
        <f t="shared" si="12"/>
        <v>83</v>
      </c>
      <c r="P866" s="3" t="str">
        <f t="shared" si="13"/>
        <v>WALLET</v>
      </c>
      <c r="Q866" s="3" t="str">
        <f t="shared" si="14"/>
        <v>DELIVERED</v>
      </c>
    </row>
    <row r="867">
      <c r="A867" s="1" t="s">
        <v>2650</v>
      </c>
      <c r="B867" s="2">
        <f t="shared" si="1"/>
        <v>46042</v>
      </c>
      <c r="C867" s="1" t="s">
        <v>2651</v>
      </c>
      <c r="D867" s="3" t="str">
        <f t="shared" si="2"/>
        <v>SUSA</v>
      </c>
      <c r="E867" s="3" t="str">
        <f t="shared" si="3"/>
        <v>UTTHRA PRADESH</v>
      </c>
      <c r="F867" s="3" t="str">
        <f t="shared" si="4"/>
        <v>LUCKNOW</v>
      </c>
      <c r="G867" s="1" t="s">
        <v>2652</v>
      </c>
      <c r="H867" s="3" t="str">
        <f t="shared" si="5"/>
        <v>ELECTRONICS</v>
      </c>
      <c r="I867" s="3" t="str">
        <f t="shared" si="6"/>
        <v>WIRELESS EARBUDS</v>
      </c>
      <c r="J867" s="3">
        <f t="shared" si="7"/>
        <v>3</v>
      </c>
      <c r="K867" s="3">
        <f t="shared" si="8"/>
        <v>168</v>
      </c>
      <c r="L867" s="4">
        <f t="shared" si="9"/>
        <v>0.2</v>
      </c>
      <c r="M867" s="3">
        <f t="shared" si="10"/>
        <v>403.2</v>
      </c>
      <c r="N867" s="3">
        <f t="shared" si="11"/>
        <v>282</v>
      </c>
      <c r="O867" s="3">
        <f t="shared" si="12"/>
        <v>121</v>
      </c>
      <c r="P867" s="3" t="str">
        <f t="shared" si="13"/>
        <v>UPI</v>
      </c>
      <c r="Q867" s="3" t="str">
        <f t="shared" si="14"/>
        <v>SHIPPED</v>
      </c>
    </row>
    <row r="868">
      <c r="A868" s="1" t="s">
        <v>2653</v>
      </c>
      <c r="B868" s="2">
        <f t="shared" si="1"/>
        <v>46176</v>
      </c>
      <c r="C868" s="1" t="s">
        <v>2654</v>
      </c>
      <c r="D868" s="3" t="str">
        <f t="shared" si="2"/>
        <v>NIVE</v>
      </c>
      <c r="E868" s="3" t="str">
        <f t="shared" si="3"/>
        <v>GUJARAT</v>
      </c>
      <c r="F868" s="3" t="str">
        <f t="shared" si="4"/>
        <v>SURAT</v>
      </c>
      <c r="G868" s="1" t="s">
        <v>2655</v>
      </c>
      <c r="H868" s="3" t="str">
        <f t="shared" si="5"/>
        <v>SPORTS</v>
      </c>
      <c r="I868" s="3" t="str">
        <f t="shared" si="6"/>
        <v>FOOTBALL</v>
      </c>
      <c r="J868" s="3">
        <f t="shared" si="7"/>
        <v>2</v>
      </c>
      <c r="K868" s="3">
        <f t="shared" si="8"/>
        <v>515</v>
      </c>
      <c r="L868" s="4">
        <f t="shared" si="9"/>
        <v>0.15</v>
      </c>
      <c r="M868" s="3">
        <f t="shared" si="10"/>
        <v>875.5</v>
      </c>
      <c r="N868" s="3">
        <f t="shared" si="11"/>
        <v>613</v>
      </c>
      <c r="O868" s="3">
        <f t="shared" si="12"/>
        <v>263</v>
      </c>
      <c r="P868" s="3" t="str">
        <f t="shared" si="13"/>
        <v>CARD</v>
      </c>
      <c r="Q868" s="3" t="str">
        <f t="shared" si="14"/>
        <v>CANCELLED</v>
      </c>
    </row>
    <row r="869">
      <c r="A869" s="1" t="s">
        <v>2656</v>
      </c>
      <c r="B869" s="2">
        <f t="shared" si="1"/>
        <v>46380</v>
      </c>
      <c r="C869" s="1" t="s">
        <v>2657</v>
      </c>
      <c r="D869" s="3" t="str">
        <f t="shared" si="2"/>
        <v>VINO</v>
      </c>
      <c r="E869" s="3" t="str">
        <f t="shared" si="3"/>
        <v>RAJASTHAN</v>
      </c>
      <c r="F869" s="3" t="str">
        <f t="shared" si="4"/>
        <v>JAIPUR</v>
      </c>
      <c r="G869" s="1" t="s">
        <v>2658</v>
      </c>
      <c r="H869" s="3" t="str">
        <f t="shared" si="5"/>
        <v>FOOD</v>
      </c>
      <c r="I869" s="3" t="str">
        <f t="shared" si="6"/>
        <v>BIRIYANI</v>
      </c>
      <c r="J869" s="3">
        <f t="shared" si="7"/>
        <v>3</v>
      </c>
      <c r="K869" s="3">
        <f t="shared" si="8"/>
        <v>374</v>
      </c>
      <c r="L869" s="4">
        <f t="shared" si="9"/>
        <v>0.15</v>
      </c>
      <c r="M869" s="3">
        <f t="shared" si="10"/>
        <v>953.7</v>
      </c>
      <c r="N869" s="3">
        <f t="shared" si="11"/>
        <v>668</v>
      </c>
      <c r="O869" s="3">
        <f t="shared" si="12"/>
        <v>286</v>
      </c>
      <c r="P869" s="3" t="str">
        <f t="shared" si="13"/>
        <v>COD</v>
      </c>
      <c r="Q869" s="3" t="str">
        <f t="shared" si="14"/>
        <v>RETURNED</v>
      </c>
    </row>
    <row r="870">
      <c r="A870" s="1" t="s">
        <v>2659</v>
      </c>
      <c r="B870" s="2">
        <f t="shared" si="1"/>
        <v>46241</v>
      </c>
      <c r="C870" s="1" t="s">
        <v>2660</v>
      </c>
      <c r="D870" s="3" t="str">
        <f t="shared" si="2"/>
        <v>ABI</v>
      </c>
      <c r="E870" s="3" t="str">
        <f t="shared" si="3"/>
        <v>WEST BENGAL</v>
      </c>
      <c r="F870" s="3" t="str">
        <f t="shared" si="4"/>
        <v>KOLKATA</v>
      </c>
      <c r="G870" s="1" t="s">
        <v>2661</v>
      </c>
      <c r="H870" s="3" t="str">
        <f t="shared" si="5"/>
        <v>DRESS</v>
      </c>
      <c r="I870" s="3" t="str">
        <f t="shared" si="6"/>
        <v>WOMEN WAERS</v>
      </c>
      <c r="J870" s="3">
        <f t="shared" si="7"/>
        <v>5</v>
      </c>
      <c r="K870" s="3">
        <f t="shared" si="8"/>
        <v>223</v>
      </c>
      <c r="L870" s="4">
        <f t="shared" si="9"/>
        <v>0.17</v>
      </c>
      <c r="M870" s="3">
        <f t="shared" si="10"/>
        <v>925.45</v>
      </c>
      <c r="N870" s="3">
        <f t="shared" si="11"/>
        <v>648</v>
      </c>
      <c r="O870" s="3">
        <f t="shared" si="12"/>
        <v>277</v>
      </c>
      <c r="P870" s="3" t="str">
        <f t="shared" si="13"/>
        <v>NET BANKING</v>
      </c>
      <c r="Q870" s="3" t="str">
        <f t="shared" si="14"/>
        <v>DELIVERED</v>
      </c>
    </row>
    <row r="871">
      <c r="A871" s="1" t="s">
        <v>2662</v>
      </c>
      <c r="B871" s="2">
        <f t="shared" si="1"/>
        <v>46352</v>
      </c>
      <c r="C871" s="1" t="s">
        <v>2663</v>
      </c>
      <c r="D871" s="3" t="str">
        <f t="shared" si="2"/>
        <v>NIHAAR</v>
      </c>
      <c r="E871" s="3" t="str">
        <f t="shared" si="3"/>
        <v>MAGARASTRA</v>
      </c>
      <c r="F871" s="3" t="str">
        <f t="shared" si="4"/>
        <v>PUNE</v>
      </c>
      <c r="G871" s="1" t="s">
        <v>2664</v>
      </c>
      <c r="H871" s="3" t="str">
        <f t="shared" si="5"/>
        <v>BEAUTY</v>
      </c>
      <c r="I871" s="3" t="str">
        <f t="shared" si="6"/>
        <v>KAJAL</v>
      </c>
      <c r="J871" s="3">
        <f t="shared" si="7"/>
        <v>3</v>
      </c>
      <c r="K871" s="3">
        <f t="shared" si="8"/>
        <v>364</v>
      </c>
      <c r="L871" s="4">
        <f t="shared" si="9"/>
        <v>0</v>
      </c>
      <c r="M871" s="3">
        <f t="shared" si="10"/>
        <v>1092</v>
      </c>
      <c r="N871" s="3">
        <f t="shared" si="11"/>
        <v>764</v>
      </c>
      <c r="O871" s="3">
        <f t="shared" si="12"/>
        <v>328</v>
      </c>
      <c r="P871" s="3" t="str">
        <f t="shared" si="13"/>
        <v>WALLET</v>
      </c>
      <c r="Q871" s="3" t="str">
        <f t="shared" si="14"/>
        <v>SHIPPED</v>
      </c>
    </row>
    <row r="872">
      <c r="A872" s="1" t="s">
        <v>2665</v>
      </c>
      <c r="B872" s="2">
        <f t="shared" si="1"/>
        <v>46248</v>
      </c>
      <c r="C872" s="1" t="s">
        <v>2666</v>
      </c>
      <c r="D872" s="3" t="str">
        <f t="shared" si="2"/>
        <v>SRI</v>
      </c>
      <c r="E872" s="3" t="str">
        <f t="shared" si="3"/>
        <v>TAMILNADU</v>
      </c>
      <c r="F872" s="3" t="str">
        <f t="shared" si="4"/>
        <v>THOOTHUKUDI</v>
      </c>
      <c r="G872" s="1" t="s">
        <v>2667</v>
      </c>
      <c r="H872" s="3" t="str">
        <f t="shared" si="5"/>
        <v>HOME &amp; KITCHEN</v>
      </c>
      <c r="I872" s="3" t="str">
        <f t="shared" si="6"/>
        <v>MIXER GRAINDER</v>
      </c>
      <c r="J872" s="3">
        <f t="shared" si="7"/>
        <v>5</v>
      </c>
      <c r="K872" s="3">
        <f t="shared" si="8"/>
        <v>126</v>
      </c>
      <c r="L872" s="4">
        <f t="shared" si="9"/>
        <v>0.5</v>
      </c>
      <c r="M872" s="3">
        <f t="shared" si="10"/>
        <v>315</v>
      </c>
      <c r="N872" s="3">
        <f t="shared" si="11"/>
        <v>221</v>
      </c>
      <c r="O872" s="3">
        <f t="shared" si="12"/>
        <v>94</v>
      </c>
      <c r="P872" s="3" t="str">
        <f t="shared" si="13"/>
        <v>UPI</v>
      </c>
      <c r="Q872" s="3" t="str">
        <f t="shared" si="14"/>
        <v>CANCELLED</v>
      </c>
    </row>
    <row r="873">
      <c r="A873" s="1" t="s">
        <v>2668</v>
      </c>
      <c r="B873" s="2">
        <f t="shared" si="1"/>
        <v>46247</v>
      </c>
      <c r="C873" s="1" t="s">
        <v>2669</v>
      </c>
      <c r="D873" s="3" t="str">
        <f t="shared" si="2"/>
        <v>SHOBN</v>
      </c>
      <c r="E873" s="3" t="str">
        <f t="shared" si="3"/>
        <v>KERALA</v>
      </c>
      <c r="F873" s="3" t="str">
        <f t="shared" si="4"/>
        <v>KOCHI</v>
      </c>
      <c r="G873" s="1" t="s">
        <v>2670</v>
      </c>
      <c r="H873" s="3" t="str">
        <f t="shared" si="5"/>
        <v>BOOKS</v>
      </c>
      <c r="I873" s="3" t="str">
        <f t="shared" si="6"/>
        <v>LIFE OF PI</v>
      </c>
      <c r="J873" s="3">
        <f t="shared" si="7"/>
        <v>1</v>
      </c>
      <c r="K873" s="3">
        <f t="shared" si="8"/>
        <v>471</v>
      </c>
      <c r="L873" s="4">
        <f t="shared" si="9"/>
        <v>0.2</v>
      </c>
      <c r="M873" s="3">
        <f t="shared" si="10"/>
        <v>376.8</v>
      </c>
      <c r="N873" s="3">
        <f t="shared" si="11"/>
        <v>264</v>
      </c>
      <c r="O873" s="3">
        <f t="shared" si="12"/>
        <v>113</v>
      </c>
      <c r="P873" s="3" t="str">
        <f t="shared" si="13"/>
        <v>CARD</v>
      </c>
      <c r="Q873" s="3" t="str">
        <f t="shared" si="14"/>
        <v>RETURNED</v>
      </c>
    </row>
    <row r="874">
      <c r="A874" s="1" t="s">
        <v>2671</v>
      </c>
      <c r="B874" s="2">
        <f t="shared" si="1"/>
        <v>46231</v>
      </c>
      <c r="C874" s="1" t="s">
        <v>2672</v>
      </c>
      <c r="D874" s="3" t="str">
        <f t="shared" si="2"/>
        <v>SOBI</v>
      </c>
      <c r="E874" s="3" t="str">
        <f t="shared" si="3"/>
        <v>KARNATAKA</v>
      </c>
      <c r="F874" s="3" t="str">
        <f t="shared" si="4"/>
        <v>BANGALURU</v>
      </c>
      <c r="G874" s="1" t="s">
        <v>2673</v>
      </c>
      <c r="H874" s="3" t="str">
        <f t="shared" si="5"/>
        <v>ACCESSORIES</v>
      </c>
      <c r="I874" s="3" t="str">
        <f t="shared" si="6"/>
        <v>EARRINGS</v>
      </c>
      <c r="J874" s="3">
        <f t="shared" si="7"/>
        <v>4</v>
      </c>
      <c r="K874" s="3">
        <f t="shared" si="8"/>
        <v>507</v>
      </c>
      <c r="L874" s="4">
        <f t="shared" si="9"/>
        <v>0.15</v>
      </c>
      <c r="M874" s="3">
        <f t="shared" si="10"/>
        <v>1723.8</v>
      </c>
      <c r="N874" s="3">
        <f t="shared" si="11"/>
        <v>1207</v>
      </c>
      <c r="O874" s="3">
        <f t="shared" si="12"/>
        <v>517</v>
      </c>
      <c r="P874" s="3" t="str">
        <f t="shared" si="13"/>
        <v>COD</v>
      </c>
      <c r="Q874" s="3" t="str">
        <f t="shared" si="14"/>
        <v>DELIVERED</v>
      </c>
    </row>
    <row r="875">
      <c r="A875" s="1" t="s">
        <v>2674</v>
      </c>
      <c r="B875" s="2">
        <f t="shared" si="1"/>
        <v>46323</v>
      </c>
      <c r="C875" s="1" t="s">
        <v>2675</v>
      </c>
      <c r="D875" s="3" t="str">
        <f t="shared" si="2"/>
        <v>SUJI</v>
      </c>
      <c r="E875" s="3" t="str">
        <f t="shared" si="3"/>
        <v>ANDHRA PRADESH</v>
      </c>
      <c r="F875" s="3" t="str">
        <f t="shared" si="4"/>
        <v>TIRUPATI</v>
      </c>
      <c r="G875" s="1" t="s">
        <v>2676</v>
      </c>
      <c r="H875" s="3" t="str">
        <f t="shared" si="5"/>
        <v>ELECTRONICS</v>
      </c>
      <c r="I875" s="3" t="str">
        <f t="shared" si="6"/>
        <v>WIRELESS EARBUDS</v>
      </c>
      <c r="J875" s="3">
        <f t="shared" si="7"/>
        <v>5</v>
      </c>
      <c r="K875" s="3">
        <f t="shared" si="8"/>
        <v>345</v>
      </c>
      <c r="L875" s="4">
        <f t="shared" si="9"/>
        <v>0.2</v>
      </c>
      <c r="M875" s="3">
        <f t="shared" si="10"/>
        <v>1380</v>
      </c>
      <c r="N875" s="3">
        <f t="shared" si="11"/>
        <v>966</v>
      </c>
      <c r="O875" s="3">
        <f t="shared" si="12"/>
        <v>414</v>
      </c>
      <c r="P875" s="3" t="str">
        <f t="shared" si="13"/>
        <v>NET BANKING</v>
      </c>
      <c r="Q875" s="3" t="str">
        <f t="shared" si="14"/>
        <v>SHIPPED</v>
      </c>
    </row>
    <row r="876">
      <c r="A876" s="1" t="s">
        <v>2677</v>
      </c>
      <c r="B876" s="2">
        <f t="shared" si="1"/>
        <v>46247</v>
      </c>
      <c r="C876" s="1" t="s">
        <v>2678</v>
      </c>
      <c r="D876" s="3" t="str">
        <f t="shared" si="2"/>
        <v>RATHA</v>
      </c>
      <c r="E876" s="3" t="str">
        <f t="shared" si="3"/>
        <v>TELUGANA</v>
      </c>
      <c r="F876" s="3" t="str">
        <f t="shared" si="4"/>
        <v>HYDERABAD</v>
      </c>
      <c r="G876" s="1" t="s">
        <v>2679</v>
      </c>
      <c r="H876" s="3" t="str">
        <f t="shared" si="5"/>
        <v>SPORTS</v>
      </c>
      <c r="I876" s="3" t="str">
        <f t="shared" si="6"/>
        <v>FOOTBALL</v>
      </c>
      <c r="J876" s="3">
        <f t="shared" si="7"/>
        <v>2</v>
      </c>
      <c r="K876" s="3">
        <f t="shared" si="8"/>
        <v>465</v>
      </c>
      <c r="L876" s="4">
        <f t="shared" si="9"/>
        <v>0.17</v>
      </c>
      <c r="M876" s="3">
        <f t="shared" si="10"/>
        <v>771.9</v>
      </c>
      <c r="N876" s="3">
        <f t="shared" si="11"/>
        <v>540</v>
      </c>
      <c r="O876" s="3">
        <f t="shared" si="12"/>
        <v>232</v>
      </c>
      <c r="P876" s="3" t="str">
        <f t="shared" si="13"/>
        <v>WALLET</v>
      </c>
      <c r="Q876" s="3" t="str">
        <f t="shared" si="14"/>
        <v>CANCELLED</v>
      </c>
    </row>
    <row r="877">
      <c r="A877" s="1" t="s">
        <v>2680</v>
      </c>
      <c r="B877" s="2">
        <f t="shared" si="1"/>
        <v>46159</v>
      </c>
      <c r="C877" s="1" t="s">
        <v>2681</v>
      </c>
      <c r="D877" s="3" t="str">
        <f t="shared" si="2"/>
        <v>SUSA</v>
      </c>
      <c r="E877" s="3" t="str">
        <f t="shared" si="3"/>
        <v>UTTHRA PRADESH</v>
      </c>
      <c r="F877" s="3" t="str">
        <f t="shared" si="4"/>
        <v>LUCKNOW</v>
      </c>
      <c r="G877" s="1" t="s">
        <v>2682</v>
      </c>
      <c r="H877" s="3" t="str">
        <f t="shared" si="5"/>
        <v>FOOD</v>
      </c>
      <c r="I877" s="3" t="str">
        <f t="shared" si="6"/>
        <v>BIRIYANI</v>
      </c>
      <c r="J877" s="3">
        <f t="shared" si="7"/>
        <v>2</v>
      </c>
      <c r="K877" s="3">
        <f t="shared" si="8"/>
        <v>102</v>
      </c>
      <c r="L877" s="4">
        <f t="shared" si="9"/>
        <v>0.5</v>
      </c>
      <c r="M877" s="3">
        <f t="shared" si="10"/>
        <v>102</v>
      </c>
      <c r="N877" s="3">
        <f t="shared" si="11"/>
        <v>71</v>
      </c>
      <c r="O877" s="3">
        <f t="shared" si="12"/>
        <v>31</v>
      </c>
      <c r="P877" s="3" t="str">
        <f t="shared" si="13"/>
        <v>UPI</v>
      </c>
      <c r="Q877" s="3" t="str">
        <f t="shared" si="14"/>
        <v>RETURNED</v>
      </c>
    </row>
    <row r="878">
      <c r="A878" s="1" t="s">
        <v>2683</v>
      </c>
      <c r="B878" s="2">
        <f t="shared" si="1"/>
        <v>46348</v>
      </c>
      <c r="C878" s="1" t="s">
        <v>2684</v>
      </c>
      <c r="D878" s="3" t="str">
        <f t="shared" si="2"/>
        <v>NIVE</v>
      </c>
      <c r="E878" s="3" t="str">
        <f t="shared" si="3"/>
        <v>GUJARAT</v>
      </c>
      <c r="F878" s="3" t="str">
        <f t="shared" si="4"/>
        <v>SURAT</v>
      </c>
      <c r="G878" s="1" t="s">
        <v>2685</v>
      </c>
      <c r="H878" s="3" t="str">
        <f t="shared" si="5"/>
        <v>DRESS</v>
      </c>
      <c r="I878" s="3" t="str">
        <f t="shared" si="6"/>
        <v>WOMEN WAERS</v>
      </c>
      <c r="J878" s="3">
        <f t="shared" si="7"/>
        <v>4</v>
      </c>
      <c r="K878" s="3">
        <f t="shared" si="8"/>
        <v>490</v>
      </c>
      <c r="L878" s="4">
        <f t="shared" si="9"/>
        <v>0.5</v>
      </c>
      <c r="M878" s="3">
        <f t="shared" si="10"/>
        <v>980</v>
      </c>
      <c r="N878" s="3">
        <f t="shared" si="11"/>
        <v>686</v>
      </c>
      <c r="O878" s="3">
        <f t="shared" si="12"/>
        <v>294</v>
      </c>
      <c r="P878" s="3" t="str">
        <f t="shared" si="13"/>
        <v>CARD</v>
      </c>
      <c r="Q878" s="3" t="str">
        <f t="shared" si="14"/>
        <v>DELIVERED</v>
      </c>
    </row>
    <row r="879">
      <c r="A879" s="1" t="s">
        <v>2686</v>
      </c>
      <c r="B879" s="2">
        <f t="shared" si="1"/>
        <v>46263</v>
      </c>
      <c r="C879" s="1" t="s">
        <v>2687</v>
      </c>
      <c r="D879" s="3" t="str">
        <f t="shared" si="2"/>
        <v>VINO</v>
      </c>
      <c r="E879" s="3" t="str">
        <f t="shared" si="3"/>
        <v>RAJASTHAN</v>
      </c>
      <c r="F879" s="3" t="str">
        <f t="shared" si="4"/>
        <v>JAIPUR</v>
      </c>
      <c r="G879" s="1" t="s">
        <v>2688</v>
      </c>
      <c r="H879" s="3" t="str">
        <f t="shared" si="5"/>
        <v>BEAUTY</v>
      </c>
      <c r="I879" s="3" t="str">
        <f t="shared" si="6"/>
        <v>KAJAL</v>
      </c>
      <c r="J879" s="3">
        <f t="shared" si="7"/>
        <v>4</v>
      </c>
      <c r="K879" s="3">
        <f t="shared" si="8"/>
        <v>412</v>
      </c>
      <c r="L879" s="4">
        <f t="shared" si="9"/>
        <v>0.1</v>
      </c>
      <c r="M879" s="3">
        <f t="shared" si="10"/>
        <v>1483.2</v>
      </c>
      <c r="N879" s="3">
        <f t="shared" si="11"/>
        <v>1038</v>
      </c>
      <c r="O879" s="3">
        <f t="shared" si="12"/>
        <v>445</v>
      </c>
      <c r="P879" s="3" t="str">
        <f t="shared" si="13"/>
        <v>COD</v>
      </c>
      <c r="Q879" s="3" t="str">
        <f t="shared" si="14"/>
        <v>SHIPPED</v>
      </c>
    </row>
    <row r="880">
      <c r="A880" s="1" t="s">
        <v>2689</v>
      </c>
      <c r="B880" s="2">
        <f t="shared" si="1"/>
        <v>46303</v>
      </c>
      <c r="C880" s="1" t="s">
        <v>2690</v>
      </c>
      <c r="D880" s="3" t="str">
        <f t="shared" si="2"/>
        <v>ABI</v>
      </c>
      <c r="E880" s="3" t="str">
        <f t="shared" si="3"/>
        <v>WEST BENGAL</v>
      </c>
      <c r="F880" s="3" t="str">
        <f t="shared" si="4"/>
        <v>KOLKATA</v>
      </c>
      <c r="G880" s="1" t="s">
        <v>2691</v>
      </c>
      <c r="H880" s="3" t="str">
        <f t="shared" si="5"/>
        <v>HOME &amp; KITCHEN</v>
      </c>
      <c r="I880" s="3" t="str">
        <f t="shared" si="6"/>
        <v>MIXER GRAINDER</v>
      </c>
      <c r="J880" s="3">
        <f t="shared" si="7"/>
        <v>4</v>
      </c>
      <c r="K880" s="3">
        <f t="shared" si="8"/>
        <v>176</v>
      </c>
      <c r="L880" s="4">
        <f t="shared" si="9"/>
        <v>0.1</v>
      </c>
      <c r="M880" s="3">
        <f t="shared" si="10"/>
        <v>633.6</v>
      </c>
      <c r="N880" s="3">
        <f t="shared" si="11"/>
        <v>444</v>
      </c>
      <c r="O880" s="3">
        <f t="shared" si="12"/>
        <v>190</v>
      </c>
      <c r="P880" s="3" t="str">
        <f t="shared" si="13"/>
        <v>NET BANKING</v>
      </c>
      <c r="Q880" s="3" t="str">
        <f t="shared" si="14"/>
        <v>CANCELLED</v>
      </c>
    </row>
    <row r="881">
      <c r="A881" s="1" t="s">
        <v>2692</v>
      </c>
      <c r="B881" s="2">
        <f t="shared" si="1"/>
        <v>46330</v>
      </c>
      <c r="C881" s="1" t="s">
        <v>2693</v>
      </c>
      <c r="D881" s="3" t="str">
        <f t="shared" si="2"/>
        <v>NIHAAR</v>
      </c>
      <c r="E881" s="3" t="str">
        <f t="shared" si="3"/>
        <v>MAGARASTRA</v>
      </c>
      <c r="F881" s="3" t="str">
        <f t="shared" si="4"/>
        <v>PUNE</v>
      </c>
      <c r="G881" s="1" t="s">
        <v>2694</v>
      </c>
      <c r="H881" s="3" t="str">
        <f t="shared" si="5"/>
        <v>BOOKS</v>
      </c>
      <c r="I881" s="3" t="str">
        <f t="shared" si="6"/>
        <v>LIFE OF PI</v>
      </c>
      <c r="J881" s="3">
        <f t="shared" si="7"/>
        <v>3</v>
      </c>
      <c r="K881" s="3">
        <f t="shared" si="8"/>
        <v>350</v>
      </c>
      <c r="L881" s="4">
        <f t="shared" si="9"/>
        <v>0</v>
      </c>
      <c r="M881" s="3">
        <f t="shared" si="10"/>
        <v>1050</v>
      </c>
      <c r="N881" s="3">
        <f t="shared" si="11"/>
        <v>735</v>
      </c>
      <c r="O881" s="3">
        <f t="shared" si="12"/>
        <v>315</v>
      </c>
      <c r="P881" s="3" t="str">
        <f t="shared" si="13"/>
        <v>WALLET</v>
      </c>
      <c r="Q881" s="3" t="str">
        <f t="shared" si="14"/>
        <v>RETURNED</v>
      </c>
    </row>
    <row r="882">
      <c r="A882" s="1" t="s">
        <v>2695</v>
      </c>
      <c r="B882" s="2">
        <f t="shared" si="1"/>
        <v>46314</v>
      </c>
      <c r="C882" s="1" t="s">
        <v>2696</v>
      </c>
      <c r="D882" s="3" t="str">
        <f t="shared" si="2"/>
        <v>SRI</v>
      </c>
      <c r="E882" s="3" t="str">
        <f t="shared" si="3"/>
        <v>TAMILNADU</v>
      </c>
      <c r="F882" s="3" t="str">
        <f t="shared" si="4"/>
        <v>THOOTHUKUDI</v>
      </c>
      <c r="G882" s="1" t="s">
        <v>2697</v>
      </c>
      <c r="H882" s="3" t="str">
        <f t="shared" si="5"/>
        <v>ACCESSORIES</v>
      </c>
      <c r="I882" s="3" t="str">
        <f t="shared" si="6"/>
        <v>EARRINGS</v>
      </c>
      <c r="J882" s="3">
        <f t="shared" si="7"/>
        <v>3</v>
      </c>
      <c r="K882" s="3">
        <f t="shared" si="8"/>
        <v>151</v>
      </c>
      <c r="L882" s="4">
        <f t="shared" si="9"/>
        <v>0.5</v>
      </c>
      <c r="M882" s="3">
        <f t="shared" si="10"/>
        <v>226.5</v>
      </c>
      <c r="N882" s="3">
        <f t="shared" si="11"/>
        <v>159</v>
      </c>
      <c r="O882" s="3">
        <f t="shared" si="12"/>
        <v>68</v>
      </c>
      <c r="P882" s="3" t="str">
        <f t="shared" si="13"/>
        <v>UPI</v>
      </c>
      <c r="Q882" s="3" t="str">
        <f t="shared" si="14"/>
        <v>DELIVERED</v>
      </c>
    </row>
    <row r="883">
      <c r="A883" s="1" t="s">
        <v>2698</v>
      </c>
      <c r="B883" s="2">
        <f t="shared" si="1"/>
        <v>46295</v>
      </c>
      <c r="C883" s="1" t="s">
        <v>2699</v>
      </c>
      <c r="D883" s="3" t="str">
        <f t="shared" si="2"/>
        <v>SHOBN</v>
      </c>
      <c r="E883" s="3" t="str">
        <f t="shared" si="3"/>
        <v>KERALA</v>
      </c>
      <c r="F883" s="3" t="str">
        <f t="shared" si="4"/>
        <v>KOCHI</v>
      </c>
      <c r="G883" s="1" t="s">
        <v>2700</v>
      </c>
      <c r="H883" s="3" t="str">
        <f t="shared" si="5"/>
        <v>ELECTRONICS</v>
      </c>
      <c r="I883" s="3" t="str">
        <f t="shared" si="6"/>
        <v>WIRELESS EARBUDS</v>
      </c>
      <c r="J883" s="3">
        <f t="shared" si="7"/>
        <v>4</v>
      </c>
      <c r="K883" s="3">
        <f t="shared" si="8"/>
        <v>522</v>
      </c>
      <c r="L883" s="4">
        <f t="shared" si="9"/>
        <v>0.15</v>
      </c>
      <c r="M883" s="3">
        <f t="shared" si="10"/>
        <v>1774.8</v>
      </c>
      <c r="N883" s="3">
        <f t="shared" si="11"/>
        <v>1242</v>
      </c>
      <c r="O883" s="3">
        <f t="shared" si="12"/>
        <v>533</v>
      </c>
      <c r="P883" s="3" t="str">
        <f t="shared" si="13"/>
        <v>CARD</v>
      </c>
      <c r="Q883" s="3" t="str">
        <f t="shared" si="14"/>
        <v>SHIPPED</v>
      </c>
    </row>
    <row r="884">
      <c r="A884" s="1" t="s">
        <v>2701</v>
      </c>
      <c r="B884" s="2">
        <f t="shared" si="1"/>
        <v>46254</v>
      </c>
      <c r="C884" s="1" t="s">
        <v>2702</v>
      </c>
      <c r="D884" s="3" t="str">
        <f t="shared" si="2"/>
        <v>SOBI</v>
      </c>
      <c r="E884" s="3" t="str">
        <f t="shared" si="3"/>
        <v>KARNATAKA</v>
      </c>
      <c r="F884" s="3" t="str">
        <f t="shared" si="4"/>
        <v>BANGALURU</v>
      </c>
      <c r="G884" s="1" t="s">
        <v>2703</v>
      </c>
      <c r="H884" s="3" t="str">
        <f t="shared" si="5"/>
        <v>SPORTS</v>
      </c>
      <c r="I884" s="3" t="str">
        <f t="shared" si="6"/>
        <v>FOOTBALL</v>
      </c>
      <c r="J884" s="3">
        <f t="shared" si="7"/>
        <v>1</v>
      </c>
      <c r="K884" s="3">
        <f t="shared" si="8"/>
        <v>198</v>
      </c>
      <c r="L884" s="4">
        <f t="shared" si="9"/>
        <v>0.5</v>
      </c>
      <c r="M884" s="3">
        <f t="shared" si="10"/>
        <v>99</v>
      </c>
      <c r="N884" s="3">
        <f t="shared" si="11"/>
        <v>69</v>
      </c>
      <c r="O884" s="3">
        <f t="shared" si="12"/>
        <v>30</v>
      </c>
      <c r="P884" s="3" t="str">
        <f t="shared" si="13"/>
        <v>COD</v>
      </c>
      <c r="Q884" s="3" t="str">
        <f t="shared" si="14"/>
        <v>CANCELLED</v>
      </c>
    </row>
    <row r="885">
      <c r="A885" s="1" t="s">
        <v>2704</v>
      </c>
      <c r="B885" s="2">
        <f t="shared" si="1"/>
        <v>46122</v>
      </c>
      <c r="C885" s="1" t="s">
        <v>2705</v>
      </c>
      <c r="D885" s="3" t="str">
        <f t="shared" si="2"/>
        <v>SUJI</v>
      </c>
      <c r="E885" s="3" t="str">
        <f t="shared" si="3"/>
        <v>ANDHRA PRADESH</v>
      </c>
      <c r="F885" s="3" t="str">
        <f t="shared" si="4"/>
        <v>TIRUPATI</v>
      </c>
      <c r="G885" s="1" t="s">
        <v>2706</v>
      </c>
      <c r="H885" s="3" t="str">
        <f t="shared" si="5"/>
        <v>FOOD</v>
      </c>
      <c r="I885" s="3" t="str">
        <f t="shared" si="6"/>
        <v>BIRIYANI</v>
      </c>
      <c r="J885" s="3">
        <f t="shared" si="7"/>
        <v>2</v>
      </c>
      <c r="K885" s="3">
        <f t="shared" si="8"/>
        <v>144</v>
      </c>
      <c r="L885" s="4">
        <f t="shared" si="9"/>
        <v>0.15</v>
      </c>
      <c r="M885" s="3">
        <f t="shared" si="10"/>
        <v>244.8</v>
      </c>
      <c r="N885" s="3">
        <f t="shared" si="11"/>
        <v>171</v>
      </c>
      <c r="O885" s="3">
        <f t="shared" si="12"/>
        <v>74</v>
      </c>
      <c r="P885" s="3" t="str">
        <f t="shared" si="13"/>
        <v>NET BANKING</v>
      </c>
      <c r="Q885" s="3" t="str">
        <f t="shared" si="14"/>
        <v>RETURNED</v>
      </c>
    </row>
    <row r="886">
      <c r="A886" s="1" t="s">
        <v>2707</v>
      </c>
      <c r="B886" s="2">
        <f t="shared" si="1"/>
        <v>46245</v>
      </c>
      <c r="C886" s="1" t="s">
        <v>2708</v>
      </c>
      <c r="D886" s="3" t="str">
        <f t="shared" si="2"/>
        <v>RATHA</v>
      </c>
      <c r="E886" s="3" t="str">
        <f t="shared" si="3"/>
        <v>TELUGANA</v>
      </c>
      <c r="F886" s="3" t="str">
        <f t="shared" si="4"/>
        <v>HYDERABAD</v>
      </c>
      <c r="G886" s="1" t="s">
        <v>2709</v>
      </c>
      <c r="H886" s="3" t="str">
        <f t="shared" si="5"/>
        <v>DRESS</v>
      </c>
      <c r="I886" s="3" t="str">
        <f t="shared" si="6"/>
        <v>WOMEN WAERS</v>
      </c>
      <c r="J886" s="3">
        <f t="shared" si="7"/>
        <v>3</v>
      </c>
      <c r="K886" s="3">
        <f t="shared" si="8"/>
        <v>201</v>
      </c>
      <c r="L886" s="4">
        <f t="shared" si="9"/>
        <v>0</v>
      </c>
      <c r="M886" s="3">
        <f t="shared" si="10"/>
        <v>603</v>
      </c>
      <c r="N886" s="3">
        <f t="shared" si="11"/>
        <v>422</v>
      </c>
      <c r="O886" s="3">
        <f t="shared" si="12"/>
        <v>181</v>
      </c>
      <c r="P886" s="3" t="str">
        <f t="shared" si="13"/>
        <v>WALLET</v>
      </c>
      <c r="Q886" s="3" t="str">
        <f t="shared" si="14"/>
        <v>DELIVERED</v>
      </c>
    </row>
    <row r="887">
      <c r="A887" s="1" t="s">
        <v>2710</v>
      </c>
      <c r="B887" s="2">
        <f t="shared" si="1"/>
        <v>46315</v>
      </c>
      <c r="C887" s="1" t="s">
        <v>2711</v>
      </c>
      <c r="D887" s="3" t="str">
        <f t="shared" si="2"/>
        <v>SUSA</v>
      </c>
      <c r="E887" s="3" t="str">
        <f t="shared" si="3"/>
        <v>UTTHRA PRADESH</v>
      </c>
      <c r="F887" s="3" t="str">
        <f t="shared" si="4"/>
        <v>LUCKNOW</v>
      </c>
      <c r="G887" s="1" t="s">
        <v>2712</v>
      </c>
      <c r="H887" s="3" t="str">
        <f t="shared" si="5"/>
        <v>BEAUTY</v>
      </c>
      <c r="I887" s="3" t="str">
        <f t="shared" si="6"/>
        <v>KAJAL</v>
      </c>
      <c r="J887" s="3">
        <f t="shared" si="7"/>
        <v>4</v>
      </c>
      <c r="K887" s="3">
        <f t="shared" si="8"/>
        <v>544</v>
      </c>
      <c r="L887" s="4">
        <f t="shared" si="9"/>
        <v>0.2</v>
      </c>
      <c r="M887" s="3">
        <f t="shared" si="10"/>
        <v>1740.8</v>
      </c>
      <c r="N887" s="3">
        <f t="shared" si="11"/>
        <v>1219</v>
      </c>
      <c r="O887" s="3">
        <f t="shared" si="12"/>
        <v>522</v>
      </c>
      <c r="P887" s="3" t="str">
        <f t="shared" si="13"/>
        <v>UPI</v>
      </c>
      <c r="Q887" s="3" t="str">
        <f t="shared" si="14"/>
        <v>SHIPPED</v>
      </c>
    </row>
    <row r="888">
      <c r="A888" s="1" t="s">
        <v>2713</v>
      </c>
      <c r="B888" s="2">
        <f t="shared" si="1"/>
        <v>46195</v>
      </c>
      <c r="C888" s="1" t="s">
        <v>2714</v>
      </c>
      <c r="D888" s="3" t="str">
        <f t="shared" si="2"/>
        <v>NIVE</v>
      </c>
      <c r="E888" s="3" t="str">
        <f t="shared" si="3"/>
        <v>GUJARAT</v>
      </c>
      <c r="F888" s="3" t="str">
        <f t="shared" si="4"/>
        <v>SURAT</v>
      </c>
      <c r="G888" s="1" t="s">
        <v>2715</v>
      </c>
      <c r="H888" s="3" t="str">
        <f t="shared" si="5"/>
        <v>HOME &amp; KITCHEN</v>
      </c>
      <c r="I888" s="3" t="str">
        <f t="shared" si="6"/>
        <v>MIXER GRAINDER</v>
      </c>
      <c r="J888" s="3">
        <f t="shared" si="7"/>
        <v>1</v>
      </c>
      <c r="K888" s="3">
        <f t="shared" si="8"/>
        <v>158</v>
      </c>
      <c r="L888" s="4">
        <f t="shared" si="9"/>
        <v>0.15</v>
      </c>
      <c r="M888" s="3">
        <f t="shared" si="10"/>
        <v>134.3</v>
      </c>
      <c r="N888" s="3">
        <f t="shared" si="11"/>
        <v>94</v>
      </c>
      <c r="O888" s="3">
        <f t="shared" si="12"/>
        <v>40</v>
      </c>
      <c r="P888" s="3" t="str">
        <f t="shared" si="13"/>
        <v>CARD</v>
      </c>
      <c r="Q888" s="3" t="str">
        <f t="shared" si="14"/>
        <v>CANCELLED</v>
      </c>
    </row>
    <row r="889">
      <c r="A889" s="1" t="s">
        <v>2716</v>
      </c>
      <c r="B889" s="2">
        <f t="shared" si="1"/>
        <v>46129</v>
      </c>
      <c r="C889" s="1" t="s">
        <v>2717</v>
      </c>
      <c r="D889" s="3" t="str">
        <f t="shared" si="2"/>
        <v>VINO</v>
      </c>
      <c r="E889" s="3" t="str">
        <f t="shared" si="3"/>
        <v>RAJASTHAN</v>
      </c>
      <c r="F889" s="3" t="str">
        <f t="shared" si="4"/>
        <v>JAIPUR</v>
      </c>
      <c r="G889" s="1" t="s">
        <v>2718</v>
      </c>
      <c r="H889" s="3" t="str">
        <f t="shared" si="5"/>
        <v>BOOKS</v>
      </c>
      <c r="I889" s="3" t="str">
        <f t="shared" si="6"/>
        <v>LIFE OF PI</v>
      </c>
      <c r="J889" s="3">
        <f t="shared" si="7"/>
        <v>4</v>
      </c>
      <c r="K889" s="3">
        <f t="shared" si="8"/>
        <v>351</v>
      </c>
      <c r="L889" s="4">
        <f t="shared" si="9"/>
        <v>0.5</v>
      </c>
      <c r="M889" s="3">
        <f t="shared" si="10"/>
        <v>702</v>
      </c>
      <c r="N889" s="3">
        <f t="shared" si="11"/>
        <v>491</v>
      </c>
      <c r="O889" s="3">
        <f t="shared" si="12"/>
        <v>211</v>
      </c>
      <c r="P889" s="3" t="str">
        <f t="shared" si="13"/>
        <v>COD</v>
      </c>
      <c r="Q889" s="3" t="str">
        <f t="shared" si="14"/>
        <v>RETURNED</v>
      </c>
    </row>
    <row r="890">
      <c r="A890" s="1" t="s">
        <v>2719</v>
      </c>
      <c r="B890" s="2">
        <f t="shared" si="1"/>
        <v>46294</v>
      </c>
      <c r="C890" s="1" t="s">
        <v>2720</v>
      </c>
      <c r="D890" s="3" t="str">
        <f t="shared" si="2"/>
        <v>ABI</v>
      </c>
      <c r="E890" s="3" t="str">
        <f t="shared" si="3"/>
        <v>WEST BENGAL</v>
      </c>
      <c r="F890" s="3" t="str">
        <f t="shared" si="4"/>
        <v>KOLKATA</v>
      </c>
      <c r="G890" s="1" t="s">
        <v>2721</v>
      </c>
      <c r="H890" s="3" t="str">
        <f t="shared" si="5"/>
        <v>ACCESSORIES</v>
      </c>
      <c r="I890" s="3" t="str">
        <f t="shared" si="6"/>
        <v>EARRINGS</v>
      </c>
      <c r="J890" s="3">
        <f t="shared" si="7"/>
        <v>4</v>
      </c>
      <c r="K890" s="3">
        <f t="shared" si="8"/>
        <v>569</v>
      </c>
      <c r="L890" s="4">
        <f t="shared" si="9"/>
        <v>0.1</v>
      </c>
      <c r="M890" s="3">
        <f t="shared" si="10"/>
        <v>2048.4</v>
      </c>
      <c r="N890" s="3">
        <f t="shared" si="11"/>
        <v>1434</v>
      </c>
      <c r="O890" s="3">
        <f t="shared" si="12"/>
        <v>614</v>
      </c>
      <c r="P890" s="3" t="str">
        <f t="shared" si="13"/>
        <v>NET BANKING</v>
      </c>
      <c r="Q890" s="3" t="str">
        <f t="shared" si="14"/>
        <v>DELIVERED</v>
      </c>
    </row>
    <row r="891">
      <c r="A891" s="1" t="s">
        <v>2722</v>
      </c>
      <c r="B891" s="2">
        <f t="shared" si="1"/>
        <v>46351</v>
      </c>
      <c r="C891" s="1" t="s">
        <v>2723</v>
      </c>
      <c r="D891" s="3" t="str">
        <f t="shared" si="2"/>
        <v>NIHAAR</v>
      </c>
      <c r="E891" s="3" t="str">
        <f t="shared" si="3"/>
        <v>MAGARASTRA</v>
      </c>
      <c r="F891" s="3" t="str">
        <f t="shared" si="4"/>
        <v>PUNE</v>
      </c>
      <c r="G891" s="1" t="s">
        <v>2724</v>
      </c>
      <c r="H891" s="3" t="str">
        <f t="shared" si="5"/>
        <v>ELECTRONICS</v>
      </c>
      <c r="I891" s="3" t="str">
        <f t="shared" si="6"/>
        <v>WIRELESS EARBUDS</v>
      </c>
      <c r="J891" s="3">
        <f t="shared" si="7"/>
        <v>4</v>
      </c>
      <c r="K891" s="3">
        <f t="shared" si="8"/>
        <v>539</v>
      </c>
      <c r="L891" s="4">
        <f t="shared" si="9"/>
        <v>0.5</v>
      </c>
      <c r="M891" s="3">
        <f t="shared" si="10"/>
        <v>1078</v>
      </c>
      <c r="N891" s="3">
        <f t="shared" si="11"/>
        <v>755</v>
      </c>
      <c r="O891" s="3">
        <f t="shared" si="12"/>
        <v>323</v>
      </c>
      <c r="P891" s="3" t="str">
        <f t="shared" si="13"/>
        <v>WALLET</v>
      </c>
      <c r="Q891" s="3" t="str">
        <f t="shared" si="14"/>
        <v>SHIPPED</v>
      </c>
    </row>
    <row r="892">
      <c r="A892" s="1" t="s">
        <v>2725</v>
      </c>
      <c r="B892" s="2">
        <f t="shared" si="1"/>
        <v>46261</v>
      </c>
      <c r="C892" s="1" t="s">
        <v>2726</v>
      </c>
      <c r="D892" s="3" t="str">
        <f t="shared" si="2"/>
        <v>SRI</v>
      </c>
      <c r="E892" s="3" t="str">
        <f t="shared" si="3"/>
        <v>TAMILNADU</v>
      </c>
      <c r="F892" s="3" t="str">
        <f t="shared" si="4"/>
        <v>THOOTHUKUDI</v>
      </c>
      <c r="G892" s="1" t="s">
        <v>2727</v>
      </c>
      <c r="H892" s="3" t="str">
        <f t="shared" si="5"/>
        <v>SPORTS</v>
      </c>
      <c r="I892" s="3" t="str">
        <f t="shared" si="6"/>
        <v>FOOTBALL</v>
      </c>
      <c r="J892" s="3">
        <f t="shared" si="7"/>
        <v>1</v>
      </c>
      <c r="K892" s="3">
        <f t="shared" si="8"/>
        <v>497</v>
      </c>
      <c r="L892" s="4">
        <f t="shared" si="9"/>
        <v>0.2</v>
      </c>
      <c r="M892" s="3">
        <f t="shared" si="10"/>
        <v>397.6</v>
      </c>
      <c r="N892" s="3">
        <f t="shared" si="11"/>
        <v>278</v>
      </c>
      <c r="O892" s="3">
        <f t="shared" si="12"/>
        <v>120</v>
      </c>
      <c r="P892" s="3" t="str">
        <f t="shared" si="13"/>
        <v>UPI</v>
      </c>
      <c r="Q892" s="3" t="str">
        <f t="shared" si="14"/>
        <v>CANCELLED</v>
      </c>
    </row>
    <row r="893">
      <c r="A893" s="1" t="s">
        <v>2728</v>
      </c>
      <c r="B893" s="2">
        <f t="shared" si="1"/>
        <v>46087</v>
      </c>
      <c r="C893" s="1" t="s">
        <v>2729</v>
      </c>
      <c r="D893" s="3" t="str">
        <f t="shared" si="2"/>
        <v>SHOBN</v>
      </c>
      <c r="E893" s="3" t="str">
        <f t="shared" si="3"/>
        <v>KERALA</v>
      </c>
      <c r="F893" s="3" t="str">
        <f t="shared" si="4"/>
        <v>KOCHI</v>
      </c>
      <c r="G893" s="1" t="s">
        <v>2730</v>
      </c>
      <c r="H893" s="3" t="str">
        <f t="shared" si="5"/>
        <v>FOOD</v>
      </c>
      <c r="I893" s="3" t="str">
        <f t="shared" si="6"/>
        <v>BIRIYANI</v>
      </c>
      <c r="J893" s="3">
        <f t="shared" si="7"/>
        <v>4</v>
      </c>
      <c r="K893" s="3">
        <f t="shared" si="8"/>
        <v>253</v>
      </c>
      <c r="L893" s="4">
        <f t="shared" si="9"/>
        <v>0.1</v>
      </c>
      <c r="M893" s="3">
        <f t="shared" si="10"/>
        <v>910.8</v>
      </c>
      <c r="N893" s="3">
        <f t="shared" si="11"/>
        <v>638</v>
      </c>
      <c r="O893" s="3">
        <f t="shared" si="12"/>
        <v>273</v>
      </c>
      <c r="P893" s="3" t="str">
        <f t="shared" si="13"/>
        <v>CARD</v>
      </c>
      <c r="Q893" s="3" t="str">
        <f t="shared" si="14"/>
        <v>RETURNED</v>
      </c>
    </row>
    <row r="894">
      <c r="A894" s="1" t="s">
        <v>2731</v>
      </c>
      <c r="B894" s="2">
        <f t="shared" si="1"/>
        <v>46023</v>
      </c>
      <c r="C894" s="1" t="s">
        <v>2732</v>
      </c>
      <c r="D894" s="3" t="str">
        <f t="shared" si="2"/>
        <v>SOBI</v>
      </c>
      <c r="E894" s="3" t="str">
        <f t="shared" si="3"/>
        <v>KARNATAKA</v>
      </c>
      <c r="F894" s="3" t="str">
        <f t="shared" si="4"/>
        <v>BANGALURU</v>
      </c>
      <c r="G894" s="1" t="s">
        <v>2733</v>
      </c>
      <c r="H894" s="3" t="str">
        <f t="shared" si="5"/>
        <v>DRESS</v>
      </c>
      <c r="I894" s="3" t="str">
        <f t="shared" si="6"/>
        <v>WOMEN WAERS</v>
      </c>
      <c r="J894" s="3">
        <f t="shared" si="7"/>
        <v>1</v>
      </c>
      <c r="K894" s="3">
        <f t="shared" si="8"/>
        <v>284</v>
      </c>
      <c r="L894" s="4">
        <f t="shared" si="9"/>
        <v>0.2</v>
      </c>
      <c r="M894" s="3">
        <f t="shared" si="10"/>
        <v>227.2</v>
      </c>
      <c r="N894" s="3">
        <f t="shared" si="11"/>
        <v>159</v>
      </c>
      <c r="O894" s="3">
        <f t="shared" si="12"/>
        <v>68</v>
      </c>
      <c r="P894" s="3" t="str">
        <f t="shared" si="13"/>
        <v>COD</v>
      </c>
      <c r="Q894" s="3" t="str">
        <f t="shared" si="14"/>
        <v>DELIVERED</v>
      </c>
    </row>
    <row r="895">
      <c r="A895" s="1" t="s">
        <v>2734</v>
      </c>
      <c r="B895" s="2">
        <f t="shared" si="1"/>
        <v>46315</v>
      </c>
      <c r="C895" s="1" t="s">
        <v>2735</v>
      </c>
      <c r="D895" s="3" t="str">
        <f t="shared" si="2"/>
        <v>SUJI</v>
      </c>
      <c r="E895" s="3" t="str">
        <f t="shared" si="3"/>
        <v>ANDHRA PRADESH</v>
      </c>
      <c r="F895" s="3" t="str">
        <f t="shared" si="4"/>
        <v>TIRUPATI</v>
      </c>
      <c r="G895" s="1" t="s">
        <v>2736</v>
      </c>
      <c r="H895" s="3" t="str">
        <f t="shared" si="5"/>
        <v>BEAUTY</v>
      </c>
      <c r="I895" s="3" t="str">
        <f t="shared" si="6"/>
        <v>KAJAL</v>
      </c>
      <c r="J895" s="3">
        <f t="shared" si="7"/>
        <v>3</v>
      </c>
      <c r="K895" s="3">
        <f t="shared" si="8"/>
        <v>510</v>
      </c>
      <c r="L895" s="4">
        <f t="shared" si="9"/>
        <v>0.1</v>
      </c>
      <c r="M895" s="3">
        <f t="shared" si="10"/>
        <v>1377</v>
      </c>
      <c r="N895" s="3">
        <f t="shared" si="11"/>
        <v>964</v>
      </c>
      <c r="O895" s="3">
        <f t="shared" si="12"/>
        <v>413</v>
      </c>
      <c r="P895" s="3" t="str">
        <f t="shared" si="13"/>
        <v>NET BANKING</v>
      </c>
      <c r="Q895" s="3" t="str">
        <f t="shared" si="14"/>
        <v>SHIPPED</v>
      </c>
    </row>
    <row r="896">
      <c r="A896" s="1" t="s">
        <v>2737</v>
      </c>
      <c r="B896" s="2">
        <f t="shared" si="1"/>
        <v>46202</v>
      </c>
      <c r="C896" s="1" t="s">
        <v>2738</v>
      </c>
      <c r="D896" s="3" t="str">
        <f t="shared" si="2"/>
        <v>RATHA</v>
      </c>
      <c r="E896" s="3" t="str">
        <f t="shared" si="3"/>
        <v>TELUGANA</v>
      </c>
      <c r="F896" s="3" t="str">
        <f t="shared" si="4"/>
        <v>HYDERABAD</v>
      </c>
      <c r="G896" s="1" t="s">
        <v>2739</v>
      </c>
      <c r="H896" s="3" t="str">
        <f t="shared" si="5"/>
        <v>HOME &amp; KITCHEN</v>
      </c>
      <c r="I896" s="3" t="str">
        <f t="shared" si="6"/>
        <v>MIXER GRAINDER</v>
      </c>
      <c r="J896" s="3">
        <f t="shared" si="7"/>
        <v>1</v>
      </c>
      <c r="K896" s="3">
        <f t="shared" si="8"/>
        <v>396</v>
      </c>
      <c r="L896" s="4">
        <f t="shared" si="9"/>
        <v>0</v>
      </c>
      <c r="M896" s="3">
        <f t="shared" si="10"/>
        <v>396</v>
      </c>
      <c r="N896" s="3">
        <f t="shared" si="11"/>
        <v>277</v>
      </c>
      <c r="O896" s="3">
        <f t="shared" si="12"/>
        <v>119</v>
      </c>
      <c r="P896" s="3" t="str">
        <f t="shared" si="13"/>
        <v>WALLET</v>
      </c>
      <c r="Q896" s="3" t="str">
        <f t="shared" si="14"/>
        <v>CANCELLED</v>
      </c>
    </row>
    <row r="897">
      <c r="A897" s="1" t="s">
        <v>2740</v>
      </c>
      <c r="B897" s="2">
        <f t="shared" si="1"/>
        <v>46347</v>
      </c>
      <c r="C897" s="1" t="s">
        <v>2741</v>
      </c>
      <c r="D897" s="3" t="str">
        <f t="shared" si="2"/>
        <v>SUSA</v>
      </c>
      <c r="E897" s="3" t="str">
        <f t="shared" si="3"/>
        <v>UTTHRA PRADESH</v>
      </c>
      <c r="F897" s="3" t="str">
        <f t="shared" si="4"/>
        <v>LUCKNOW</v>
      </c>
      <c r="G897" s="1" t="s">
        <v>2742</v>
      </c>
      <c r="H897" s="3" t="str">
        <f t="shared" si="5"/>
        <v>BOOKS</v>
      </c>
      <c r="I897" s="3" t="str">
        <f t="shared" si="6"/>
        <v>LIFE OF PI</v>
      </c>
      <c r="J897" s="3">
        <f t="shared" si="7"/>
        <v>5</v>
      </c>
      <c r="K897" s="3">
        <f t="shared" si="8"/>
        <v>428</v>
      </c>
      <c r="L897" s="4">
        <f t="shared" si="9"/>
        <v>0</v>
      </c>
      <c r="M897" s="3">
        <f t="shared" si="10"/>
        <v>2140</v>
      </c>
      <c r="N897" s="3">
        <f t="shared" si="11"/>
        <v>1498</v>
      </c>
      <c r="O897" s="3">
        <f t="shared" si="12"/>
        <v>642</v>
      </c>
      <c r="P897" s="3" t="str">
        <f t="shared" si="13"/>
        <v>UPI</v>
      </c>
      <c r="Q897" s="3" t="str">
        <f t="shared" si="14"/>
        <v>RETURNED</v>
      </c>
    </row>
    <row r="898">
      <c r="A898" s="1" t="s">
        <v>2743</v>
      </c>
      <c r="B898" s="2">
        <f t="shared" si="1"/>
        <v>46304</v>
      </c>
      <c r="C898" s="1" t="s">
        <v>2744</v>
      </c>
      <c r="D898" s="3" t="str">
        <f t="shared" si="2"/>
        <v>NIVE</v>
      </c>
      <c r="E898" s="3" t="str">
        <f t="shared" si="3"/>
        <v>GUJARAT</v>
      </c>
      <c r="F898" s="3" t="str">
        <f t="shared" si="4"/>
        <v>SURAT</v>
      </c>
      <c r="G898" s="1" t="s">
        <v>2745</v>
      </c>
      <c r="H898" s="3" t="str">
        <f t="shared" si="5"/>
        <v>ACCESSORIES</v>
      </c>
      <c r="I898" s="3" t="str">
        <f t="shared" si="6"/>
        <v>EARRINGS</v>
      </c>
      <c r="J898" s="3">
        <f t="shared" si="7"/>
        <v>5</v>
      </c>
      <c r="K898" s="3">
        <f t="shared" si="8"/>
        <v>372</v>
      </c>
      <c r="L898" s="4">
        <f t="shared" si="9"/>
        <v>0.17</v>
      </c>
      <c r="M898" s="3">
        <f t="shared" si="10"/>
        <v>1543.8</v>
      </c>
      <c r="N898" s="3">
        <f t="shared" si="11"/>
        <v>1081</v>
      </c>
      <c r="O898" s="3">
        <f t="shared" si="12"/>
        <v>463</v>
      </c>
      <c r="P898" s="3" t="str">
        <f t="shared" si="13"/>
        <v>CARD</v>
      </c>
      <c r="Q898" s="3" t="str">
        <f t="shared" si="14"/>
        <v>DELIVERED</v>
      </c>
    </row>
    <row r="899">
      <c r="A899" s="1" t="s">
        <v>2746</v>
      </c>
      <c r="B899" s="2">
        <f t="shared" si="1"/>
        <v>46387</v>
      </c>
      <c r="C899" s="1" t="s">
        <v>2747</v>
      </c>
      <c r="D899" s="3" t="str">
        <f t="shared" si="2"/>
        <v>VINO</v>
      </c>
      <c r="E899" s="3" t="str">
        <f t="shared" si="3"/>
        <v>RAJASTHAN</v>
      </c>
      <c r="F899" s="3" t="str">
        <f t="shared" si="4"/>
        <v>JAIPUR</v>
      </c>
      <c r="G899" s="1" t="s">
        <v>2748</v>
      </c>
      <c r="H899" s="3" t="str">
        <f t="shared" si="5"/>
        <v>ELECTRONICS</v>
      </c>
      <c r="I899" s="3" t="str">
        <f t="shared" si="6"/>
        <v>WIRELESS EARBUDS</v>
      </c>
      <c r="J899" s="3">
        <f t="shared" si="7"/>
        <v>5</v>
      </c>
      <c r="K899" s="3">
        <f t="shared" si="8"/>
        <v>268</v>
      </c>
      <c r="L899" s="4">
        <f t="shared" si="9"/>
        <v>0</v>
      </c>
      <c r="M899" s="3">
        <f t="shared" si="10"/>
        <v>1340</v>
      </c>
      <c r="N899" s="3">
        <f t="shared" si="11"/>
        <v>938</v>
      </c>
      <c r="O899" s="3">
        <f t="shared" si="12"/>
        <v>402</v>
      </c>
      <c r="P899" s="3" t="str">
        <f t="shared" si="13"/>
        <v>COD</v>
      </c>
      <c r="Q899" s="3" t="str">
        <f t="shared" si="14"/>
        <v>SHIPPED</v>
      </c>
    </row>
    <row r="900">
      <c r="A900" s="1" t="s">
        <v>2749</v>
      </c>
      <c r="B900" s="2">
        <f t="shared" si="1"/>
        <v>46189</v>
      </c>
      <c r="C900" s="1" t="s">
        <v>2750</v>
      </c>
      <c r="D900" s="3" t="str">
        <f t="shared" si="2"/>
        <v>ABI</v>
      </c>
      <c r="E900" s="3" t="str">
        <f t="shared" si="3"/>
        <v>WEST BENGAL</v>
      </c>
      <c r="F900" s="3" t="str">
        <f t="shared" si="4"/>
        <v>KOLKATA</v>
      </c>
      <c r="G900" s="1" t="s">
        <v>2751</v>
      </c>
      <c r="H900" s="3" t="str">
        <f t="shared" si="5"/>
        <v>SPORTS</v>
      </c>
      <c r="I900" s="3" t="str">
        <f t="shared" si="6"/>
        <v>FOOTBALL</v>
      </c>
      <c r="J900" s="3">
        <f t="shared" si="7"/>
        <v>3</v>
      </c>
      <c r="K900" s="3">
        <f t="shared" si="8"/>
        <v>196</v>
      </c>
      <c r="L900" s="4">
        <f t="shared" si="9"/>
        <v>0.17</v>
      </c>
      <c r="M900" s="3">
        <f t="shared" si="10"/>
        <v>488.04</v>
      </c>
      <c r="N900" s="3">
        <f t="shared" si="11"/>
        <v>342</v>
      </c>
      <c r="O900" s="3">
        <f t="shared" si="12"/>
        <v>146</v>
      </c>
      <c r="P900" s="3" t="str">
        <f t="shared" si="13"/>
        <v>NET BANKING</v>
      </c>
      <c r="Q900" s="3" t="str">
        <f t="shared" si="14"/>
        <v>CANCELLED</v>
      </c>
    </row>
    <row r="901">
      <c r="A901" s="1" t="s">
        <v>2752</v>
      </c>
      <c r="B901" s="2">
        <f t="shared" si="1"/>
        <v>46336</v>
      </c>
      <c r="C901" s="1" t="s">
        <v>2753</v>
      </c>
      <c r="D901" s="3" t="str">
        <f t="shared" si="2"/>
        <v>NIHAAR</v>
      </c>
      <c r="E901" s="3" t="str">
        <f t="shared" si="3"/>
        <v>MAGARASTRA</v>
      </c>
      <c r="F901" s="3" t="str">
        <f t="shared" si="4"/>
        <v>PUNE</v>
      </c>
      <c r="G901" s="1" t="s">
        <v>2754</v>
      </c>
      <c r="H901" s="3" t="str">
        <f t="shared" si="5"/>
        <v>FOOD</v>
      </c>
      <c r="I901" s="3" t="str">
        <f t="shared" si="6"/>
        <v>BIRIYANI</v>
      </c>
      <c r="J901" s="3">
        <f t="shared" si="7"/>
        <v>4</v>
      </c>
      <c r="K901" s="3">
        <f t="shared" si="8"/>
        <v>423</v>
      </c>
      <c r="L901" s="4">
        <f t="shared" si="9"/>
        <v>0.2</v>
      </c>
      <c r="M901" s="3">
        <f t="shared" si="10"/>
        <v>1353.6</v>
      </c>
      <c r="N901" s="3">
        <f t="shared" si="11"/>
        <v>948</v>
      </c>
      <c r="O901" s="3">
        <f t="shared" si="12"/>
        <v>406</v>
      </c>
      <c r="P901" s="3" t="str">
        <f t="shared" si="13"/>
        <v>WALLET</v>
      </c>
      <c r="Q901" s="3" t="str">
        <f t="shared" si="14"/>
        <v>RETURNED</v>
      </c>
    </row>
    <row r="902">
      <c r="A902" s="1" t="s">
        <v>2755</v>
      </c>
      <c r="B902" s="2">
        <f t="shared" si="1"/>
        <v>46237</v>
      </c>
      <c r="C902" s="1" t="s">
        <v>2756</v>
      </c>
      <c r="D902" s="3" t="str">
        <f t="shared" si="2"/>
        <v>SRI</v>
      </c>
      <c r="E902" s="3" t="str">
        <f t="shared" si="3"/>
        <v>TAMILNADU</v>
      </c>
      <c r="F902" s="3" t="str">
        <f t="shared" si="4"/>
        <v>THOOTHUKUDI</v>
      </c>
      <c r="G902" s="1" t="s">
        <v>2758</v>
      </c>
      <c r="H902" s="3" t="str">
        <f t="shared" si="5"/>
        <v>DRESS</v>
      </c>
      <c r="I902" s="3" t="str">
        <f t="shared" si="6"/>
        <v>WOMEN WAERS</v>
      </c>
      <c r="J902" s="3">
        <f t="shared" si="7"/>
        <v>1</v>
      </c>
      <c r="K902" s="3">
        <f t="shared" si="8"/>
        <v>456</v>
      </c>
      <c r="L902" s="4">
        <f t="shared" si="9"/>
        <v>0.5</v>
      </c>
      <c r="M902" s="3">
        <f t="shared" si="10"/>
        <v>228</v>
      </c>
      <c r="N902" s="3">
        <f t="shared" si="11"/>
        <v>160</v>
      </c>
      <c r="O902" s="3">
        <f t="shared" si="12"/>
        <v>68</v>
      </c>
      <c r="P902" s="3" t="str">
        <f t="shared" si="13"/>
        <v>UPI</v>
      </c>
      <c r="Q902" s="3" t="str">
        <f t="shared" si="14"/>
        <v>DELIVERED</v>
      </c>
    </row>
    <row r="903">
      <c r="A903" s="1" t="s">
        <v>2759</v>
      </c>
      <c r="B903" s="2">
        <f t="shared" si="1"/>
        <v>46259</v>
      </c>
      <c r="C903" s="1" t="s">
        <v>2760</v>
      </c>
      <c r="D903" s="3" t="str">
        <f t="shared" si="2"/>
        <v>SHOBN</v>
      </c>
      <c r="E903" s="3" t="str">
        <f t="shared" si="3"/>
        <v>KERALA</v>
      </c>
      <c r="F903" s="3" t="str">
        <f t="shared" si="4"/>
        <v>KOCHI</v>
      </c>
      <c r="G903" s="1" t="s">
        <v>2761</v>
      </c>
      <c r="H903" s="3" t="str">
        <f t="shared" si="5"/>
        <v>BEAUTY</v>
      </c>
      <c r="I903" s="3" t="str">
        <f t="shared" si="6"/>
        <v>KAJAL</v>
      </c>
      <c r="J903" s="3">
        <f t="shared" si="7"/>
        <v>2</v>
      </c>
      <c r="K903" s="3">
        <f t="shared" si="8"/>
        <v>247</v>
      </c>
      <c r="L903" s="4">
        <f t="shared" si="9"/>
        <v>0.17</v>
      </c>
      <c r="M903" s="3">
        <f t="shared" si="10"/>
        <v>410.02</v>
      </c>
      <c r="N903" s="3">
        <f t="shared" si="11"/>
        <v>287</v>
      </c>
      <c r="O903" s="3">
        <f t="shared" si="12"/>
        <v>123</v>
      </c>
      <c r="P903" s="3" t="str">
        <f t="shared" si="13"/>
        <v>CARD</v>
      </c>
      <c r="Q903" s="3" t="str">
        <f t="shared" si="14"/>
        <v>SHIPPED</v>
      </c>
    </row>
    <row r="904">
      <c r="A904" s="1" t="s">
        <v>2762</v>
      </c>
      <c r="B904" s="2">
        <f t="shared" si="1"/>
        <v>46363</v>
      </c>
      <c r="C904" s="1" t="s">
        <v>2763</v>
      </c>
      <c r="D904" s="3" t="str">
        <f t="shared" si="2"/>
        <v>SOBI</v>
      </c>
      <c r="E904" s="3" t="str">
        <f t="shared" si="3"/>
        <v>KARNATAKA</v>
      </c>
      <c r="F904" s="3" t="str">
        <f t="shared" si="4"/>
        <v>BANGALURU</v>
      </c>
      <c r="G904" s="1" t="s">
        <v>2764</v>
      </c>
      <c r="H904" s="3" t="str">
        <f t="shared" si="5"/>
        <v>HOME &amp; KITCHEN</v>
      </c>
      <c r="I904" s="3" t="str">
        <f t="shared" si="6"/>
        <v>MIXER GRAINDER</v>
      </c>
      <c r="J904" s="3">
        <f t="shared" si="7"/>
        <v>5</v>
      </c>
      <c r="K904" s="3">
        <f t="shared" si="8"/>
        <v>105</v>
      </c>
      <c r="L904" s="4">
        <f t="shared" si="9"/>
        <v>0.15</v>
      </c>
      <c r="M904" s="3">
        <f t="shared" si="10"/>
        <v>446.25</v>
      </c>
      <c r="N904" s="3">
        <f t="shared" si="11"/>
        <v>312</v>
      </c>
      <c r="O904" s="3">
        <f t="shared" si="12"/>
        <v>134</v>
      </c>
      <c r="P904" s="3" t="str">
        <f t="shared" si="13"/>
        <v>COD</v>
      </c>
      <c r="Q904" s="3" t="str">
        <f t="shared" si="14"/>
        <v>CANCELLED</v>
      </c>
    </row>
    <row r="905">
      <c r="A905" s="1" t="s">
        <v>2765</v>
      </c>
      <c r="B905" s="2">
        <f t="shared" si="1"/>
        <v>46184</v>
      </c>
      <c r="C905" s="1" t="s">
        <v>2766</v>
      </c>
      <c r="D905" s="3" t="str">
        <f t="shared" si="2"/>
        <v>SUJI</v>
      </c>
      <c r="E905" s="3" t="str">
        <f t="shared" si="3"/>
        <v>ANDHRA PRADESH</v>
      </c>
      <c r="F905" s="3" t="str">
        <f t="shared" si="4"/>
        <v>TIRUPATI</v>
      </c>
      <c r="G905" s="1" t="s">
        <v>2767</v>
      </c>
      <c r="H905" s="3" t="str">
        <f t="shared" si="5"/>
        <v>BOOKS</v>
      </c>
      <c r="I905" s="3" t="str">
        <f t="shared" si="6"/>
        <v>LIFE OF PI</v>
      </c>
      <c r="J905" s="3">
        <f t="shared" si="7"/>
        <v>4</v>
      </c>
      <c r="K905" s="3">
        <f t="shared" si="8"/>
        <v>311</v>
      </c>
      <c r="L905" s="4">
        <f t="shared" si="9"/>
        <v>0.5</v>
      </c>
      <c r="M905" s="3">
        <f t="shared" si="10"/>
        <v>622</v>
      </c>
      <c r="N905" s="3">
        <f t="shared" si="11"/>
        <v>435</v>
      </c>
      <c r="O905" s="3">
        <f t="shared" si="12"/>
        <v>187</v>
      </c>
      <c r="P905" s="3" t="str">
        <f t="shared" si="13"/>
        <v>NET BANKING</v>
      </c>
      <c r="Q905" s="3" t="str">
        <f t="shared" si="14"/>
        <v>RETURNED</v>
      </c>
    </row>
    <row r="906">
      <c r="A906" s="1" t="s">
        <v>2768</v>
      </c>
      <c r="B906" s="2">
        <f t="shared" si="1"/>
        <v>46200</v>
      </c>
      <c r="C906" s="1" t="s">
        <v>2769</v>
      </c>
      <c r="D906" s="3" t="str">
        <f t="shared" si="2"/>
        <v>RATHA</v>
      </c>
      <c r="E906" s="3" t="str">
        <f t="shared" si="3"/>
        <v>TELUGANA</v>
      </c>
      <c r="F906" s="3" t="str">
        <f t="shared" si="4"/>
        <v>HYDERABAD</v>
      </c>
      <c r="G906" s="1" t="s">
        <v>2770</v>
      </c>
      <c r="H906" s="3" t="str">
        <f t="shared" si="5"/>
        <v>ACCESSORIES</v>
      </c>
      <c r="I906" s="3" t="str">
        <f t="shared" si="6"/>
        <v>EARRINGS</v>
      </c>
      <c r="J906" s="3">
        <f t="shared" si="7"/>
        <v>5</v>
      </c>
      <c r="K906" s="3">
        <f t="shared" si="8"/>
        <v>203</v>
      </c>
      <c r="L906" s="4">
        <f t="shared" si="9"/>
        <v>0.17</v>
      </c>
      <c r="M906" s="3">
        <f t="shared" si="10"/>
        <v>842.45</v>
      </c>
      <c r="N906" s="3">
        <f t="shared" si="11"/>
        <v>590</v>
      </c>
      <c r="O906" s="3">
        <f t="shared" si="12"/>
        <v>252</v>
      </c>
      <c r="P906" s="3" t="str">
        <f t="shared" si="13"/>
        <v>WALLET</v>
      </c>
      <c r="Q906" s="3" t="str">
        <f t="shared" si="14"/>
        <v>DELIVERED</v>
      </c>
    </row>
    <row r="907">
      <c r="A907" s="1" t="s">
        <v>2771</v>
      </c>
      <c r="B907" s="2">
        <f t="shared" si="1"/>
        <v>46290</v>
      </c>
      <c r="C907" s="1" t="s">
        <v>2772</v>
      </c>
      <c r="D907" s="3" t="str">
        <f t="shared" si="2"/>
        <v>SUSA</v>
      </c>
      <c r="E907" s="3" t="str">
        <f t="shared" si="3"/>
        <v>UTTHRA PRADESH</v>
      </c>
      <c r="F907" s="3" t="str">
        <f t="shared" si="4"/>
        <v>LUCKNOW</v>
      </c>
      <c r="G907" s="1" t="s">
        <v>2773</v>
      </c>
      <c r="H907" s="3" t="str">
        <f t="shared" si="5"/>
        <v>ELECTRONICS</v>
      </c>
      <c r="I907" s="3" t="str">
        <f t="shared" si="6"/>
        <v>WIRELESS EARBUDS</v>
      </c>
      <c r="J907" s="3">
        <f t="shared" si="7"/>
        <v>3</v>
      </c>
      <c r="K907" s="3">
        <f t="shared" si="8"/>
        <v>401</v>
      </c>
      <c r="L907" s="4">
        <f t="shared" si="9"/>
        <v>0.5</v>
      </c>
      <c r="M907" s="3">
        <f t="shared" si="10"/>
        <v>601.5</v>
      </c>
      <c r="N907" s="3">
        <f t="shared" si="11"/>
        <v>421</v>
      </c>
      <c r="O907" s="3">
        <f t="shared" si="12"/>
        <v>181</v>
      </c>
      <c r="P907" s="3" t="str">
        <f t="shared" si="13"/>
        <v>UPI</v>
      </c>
      <c r="Q907" s="3" t="str">
        <f t="shared" si="14"/>
        <v>SHIPPED</v>
      </c>
    </row>
    <row r="908">
      <c r="A908" s="1" t="s">
        <v>2774</v>
      </c>
      <c r="B908" s="2">
        <f t="shared" si="1"/>
        <v>46320</v>
      </c>
      <c r="C908" s="1" t="s">
        <v>2775</v>
      </c>
      <c r="D908" s="3" t="str">
        <f t="shared" si="2"/>
        <v>NIVE</v>
      </c>
      <c r="E908" s="3" t="str">
        <f t="shared" si="3"/>
        <v>GUJARAT</v>
      </c>
      <c r="F908" s="3" t="str">
        <f t="shared" si="4"/>
        <v>SURAT</v>
      </c>
      <c r="G908" s="1" t="s">
        <v>2776</v>
      </c>
      <c r="H908" s="3" t="str">
        <f t="shared" si="5"/>
        <v>SPORTS</v>
      </c>
      <c r="I908" s="3" t="str">
        <f t="shared" si="6"/>
        <v>FOOTBALL</v>
      </c>
      <c r="J908" s="3">
        <f t="shared" si="7"/>
        <v>4</v>
      </c>
      <c r="K908" s="3">
        <f t="shared" si="8"/>
        <v>358</v>
      </c>
      <c r="L908" s="4">
        <f t="shared" si="9"/>
        <v>0</v>
      </c>
      <c r="M908" s="3">
        <f t="shared" si="10"/>
        <v>1432</v>
      </c>
      <c r="N908" s="3">
        <f t="shared" si="11"/>
        <v>1002</v>
      </c>
      <c r="O908" s="3">
        <f t="shared" si="12"/>
        <v>430</v>
      </c>
      <c r="P908" s="3" t="str">
        <f t="shared" si="13"/>
        <v>CARD</v>
      </c>
      <c r="Q908" s="3" t="str">
        <f t="shared" si="14"/>
        <v>CANCELLED</v>
      </c>
    </row>
    <row r="909">
      <c r="A909" s="1" t="s">
        <v>2777</v>
      </c>
      <c r="B909" s="2">
        <f t="shared" si="1"/>
        <v>46285</v>
      </c>
      <c r="C909" s="1" t="s">
        <v>2778</v>
      </c>
      <c r="D909" s="3" t="str">
        <f t="shared" si="2"/>
        <v>VINO</v>
      </c>
      <c r="E909" s="3" t="str">
        <f t="shared" si="3"/>
        <v>RAJASTHAN</v>
      </c>
      <c r="F909" s="3" t="str">
        <f t="shared" si="4"/>
        <v>JAIPUR</v>
      </c>
      <c r="G909" s="1" t="s">
        <v>2779</v>
      </c>
      <c r="H909" s="3" t="str">
        <f t="shared" si="5"/>
        <v>FOOD</v>
      </c>
      <c r="I909" s="3" t="str">
        <f t="shared" si="6"/>
        <v>BIRIYANI</v>
      </c>
      <c r="J909" s="3">
        <f t="shared" si="7"/>
        <v>4</v>
      </c>
      <c r="K909" s="3">
        <f t="shared" si="8"/>
        <v>115</v>
      </c>
      <c r="L909" s="4">
        <f t="shared" si="9"/>
        <v>0.2</v>
      </c>
      <c r="M909" s="3">
        <f t="shared" si="10"/>
        <v>368</v>
      </c>
      <c r="N909" s="3">
        <f t="shared" si="11"/>
        <v>258</v>
      </c>
      <c r="O909" s="3">
        <f t="shared" si="12"/>
        <v>110</v>
      </c>
      <c r="P909" s="3" t="str">
        <f t="shared" si="13"/>
        <v>COD</v>
      </c>
      <c r="Q909" s="3" t="str">
        <f t="shared" si="14"/>
        <v>RETURNED</v>
      </c>
    </row>
    <row r="910">
      <c r="A910" s="1" t="s">
        <v>2780</v>
      </c>
      <c r="B910" s="2">
        <f t="shared" si="1"/>
        <v>46340</v>
      </c>
      <c r="C910" s="1" t="s">
        <v>2781</v>
      </c>
      <c r="D910" s="3" t="str">
        <f t="shared" si="2"/>
        <v>ABI</v>
      </c>
      <c r="E910" s="3" t="str">
        <f t="shared" si="3"/>
        <v>WEST BENGAL</v>
      </c>
      <c r="F910" s="3" t="str">
        <f t="shared" si="4"/>
        <v>KOLKATA</v>
      </c>
      <c r="G910" s="1" t="s">
        <v>2782</v>
      </c>
      <c r="H910" s="3" t="str">
        <f t="shared" si="5"/>
        <v>DRESS</v>
      </c>
      <c r="I910" s="3" t="str">
        <f t="shared" si="6"/>
        <v>WOMEN WAERS</v>
      </c>
      <c r="J910" s="3">
        <f t="shared" si="7"/>
        <v>2</v>
      </c>
      <c r="K910" s="3">
        <f t="shared" si="8"/>
        <v>572</v>
      </c>
      <c r="L910" s="4">
        <f t="shared" si="9"/>
        <v>0.15</v>
      </c>
      <c r="M910" s="3">
        <f t="shared" si="10"/>
        <v>972.4</v>
      </c>
      <c r="N910" s="3">
        <f t="shared" si="11"/>
        <v>681</v>
      </c>
      <c r="O910" s="3">
        <f t="shared" si="12"/>
        <v>291</v>
      </c>
      <c r="P910" s="3" t="str">
        <f t="shared" si="13"/>
        <v>NET BANKING</v>
      </c>
      <c r="Q910" s="3" t="str">
        <f t="shared" si="14"/>
        <v>DELIVERED</v>
      </c>
    </row>
    <row r="911">
      <c r="A911" s="1" t="s">
        <v>2783</v>
      </c>
      <c r="B911" s="2">
        <f t="shared" si="1"/>
        <v>46244</v>
      </c>
      <c r="C911" s="1" t="s">
        <v>2784</v>
      </c>
      <c r="D911" s="3" t="str">
        <f t="shared" si="2"/>
        <v>NIHAAR</v>
      </c>
      <c r="E911" s="3" t="str">
        <f t="shared" si="3"/>
        <v>MAGARASTRA</v>
      </c>
      <c r="F911" s="3" t="str">
        <f t="shared" si="4"/>
        <v>PUNE</v>
      </c>
      <c r="G911" s="1" t="s">
        <v>2785</v>
      </c>
      <c r="H911" s="3" t="str">
        <f t="shared" si="5"/>
        <v>BEAUTY</v>
      </c>
      <c r="I911" s="3" t="str">
        <f t="shared" si="6"/>
        <v>KAJAL</v>
      </c>
      <c r="J911" s="3">
        <f t="shared" si="7"/>
        <v>3</v>
      </c>
      <c r="K911" s="3">
        <f t="shared" si="8"/>
        <v>514</v>
      </c>
      <c r="L911" s="4">
        <f t="shared" si="9"/>
        <v>0.1</v>
      </c>
      <c r="M911" s="3">
        <f t="shared" si="10"/>
        <v>1387.8</v>
      </c>
      <c r="N911" s="3">
        <f t="shared" si="11"/>
        <v>971</v>
      </c>
      <c r="O911" s="3">
        <f t="shared" si="12"/>
        <v>417</v>
      </c>
      <c r="P911" s="3" t="str">
        <f t="shared" si="13"/>
        <v>WALLET</v>
      </c>
      <c r="Q911" s="3" t="str">
        <f t="shared" si="14"/>
        <v>SHIPPED</v>
      </c>
    </row>
    <row r="912">
      <c r="A912" s="1" t="s">
        <v>2786</v>
      </c>
      <c r="B912" s="2">
        <f t="shared" si="1"/>
        <v>46374</v>
      </c>
      <c r="C912" s="1" t="s">
        <v>2787</v>
      </c>
      <c r="D912" s="3" t="str">
        <f t="shared" si="2"/>
        <v>SRI</v>
      </c>
      <c r="E912" s="3" t="str">
        <f t="shared" si="3"/>
        <v>TAMILNADU</v>
      </c>
      <c r="F912" s="3" t="str">
        <f t="shared" si="4"/>
        <v>THOOTHUKUDI</v>
      </c>
      <c r="G912" s="1" t="s">
        <v>2788</v>
      </c>
      <c r="H912" s="3" t="str">
        <f t="shared" si="5"/>
        <v>HOME &amp; KITCHEN</v>
      </c>
      <c r="I912" s="3" t="str">
        <f t="shared" si="6"/>
        <v>MIXER GRAINDER</v>
      </c>
      <c r="J912" s="3">
        <f t="shared" si="7"/>
        <v>2</v>
      </c>
      <c r="K912" s="3">
        <f t="shared" si="8"/>
        <v>448</v>
      </c>
      <c r="L912" s="4">
        <f t="shared" si="9"/>
        <v>0</v>
      </c>
      <c r="M912" s="3">
        <f t="shared" si="10"/>
        <v>896</v>
      </c>
      <c r="N912" s="3">
        <f t="shared" si="11"/>
        <v>627</v>
      </c>
      <c r="O912" s="3">
        <f t="shared" si="12"/>
        <v>269</v>
      </c>
      <c r="P912" s="3" t="str">
        <f t="shared" si="13"/>
        <v>UPI</v>
      </c>
      <c r="Q912" s="3" t="str">
        <f t="shared" si="14"/>
        <v>CANCELLED</v>
      </c>
    </row>
    <row r="913">
      <c r="A913" s="1" t="s">
        <v>2789</v>
      </c>
      <c r="B913" s="2">
        <f t="shared" si="1"/>
        <v>46168</v>
      </c>
      <c r="C913" s="1" t="s">
        <v>2790</v>
      </c>
      <c r="D913" s="3" t="str">
        <f t="shared" si="2"/>
        <v>SHOBN</v>
      </c>
      <c r="E913" s="3" t="str">
        <f t="shared" si="3"/>
        <v>KERALA</v>
      </c>
      <c r="F913" s="3" t="str">
        <f t="shared" si="4"/>
        <v>KOCHI</v>
      </c>
      <c r="G913" s="1" t="s">
        <v>2791</v>
      </c>
      <c r="H913" s="3" t="str">
        <f t="shared" si="5"/>
        <v>BOOKS</v>
      </c>
      <c r="I913" s="3" t="str">
        <f t="shared" si="6"/>
        <v>LIFE OF PI</v>
      </c>
      <c r="J913" s="3">
        <f t="shared" si="7"/>
        <v>3</v>
      </c>
      <c r="K913" s="3">
        <f t="shared" si="8"/>
        <v>324</v>
      </c>
      <c r="L913" s="4">
        <f t="shared" si="9"/>
        <v>0.1</v>
      </c>
      <c r="M913" s="3">
        <f t="shared" si="10"/>
        <v>874.8</v>
      </c>
      <c r="N913" s="3">
        <f t="shared" si="11"/>
        <v>612</v>
      </c>
      <c r="O913" s="3">
        <f t="shared" si="12"/>
        <v>263</v>
      </c>
      <c r="P913" s="3" t="str">
        <f t="shared" si="13"/>
        <v>CARD</v>
      </c>
      <c r="Q913" s="3" t="str">
        <f t="shared" si="14"/>
        <v>RETURNED</v>
      </c>
    </row>
    <row r="914">
      <c r="A914" s="1" t="s">
        <v>2792</v>
      </c>
      <c r="B914" s="2">
        <f t="shared" si="1"/>
        <v>46105</v>
      </c>
      <c r="C914" s="1" t="s">
        <v>2793</v>
      </c>
      <c r="D914" s="3" t="str">
        <f t="shared" si="2"/>
        <v>SOBI</v>
      </c>
      <c r="E914" s="3" t="str">
        <f t="shared" si="3"/>
        <v>KARNATAKA</v>
      </c>
      <c r="F914" s="3" t="str">
        <f t="shared" si="4"/>
        <v>BANGALURU</v>
      </c>
      <c r="G914" s="1" t="s">
        <v>2794</v>
      </c>
      <c r="H914" s="3" t="str">
        <f t="shared" si="5"/>
        <v>ACCESSORIES</v>
      </c>
      <c r="I914" s="3" t="str">
        <f t="shared" si="6"/>
        <v>EARRINGS</v>
      </c>
      <c r="J914" s="3">
        <f t="shared" si="7"/>
        <v>2</v>
      </c>
      <c r="K914" s="3">
        <f t="shared" si="8"/>
        <v>519</v>
      </c>
      <c r="L914" s="4">
        <f t="shared" si="9"/>
        <v>0.17</v>
      </c>
      <c r="M914" s="3">
        <f t="shared" si="10"/>
        <v>861.54</v>
      </c>
      <c r="N914" s="3">
        <f t="shared" si="11"/>
        <v>603</v>
      </c>
      <c r="O914" s="3">
        <f t="shared" si="12"/>
        <v>259</v>
      </c>
      <c r="P914" s="3" t="str">
        <f t="shared" si="13"/>
        <v>COD</v>
      </c>
      <c r="Q914" s="3" t="str">
        <f t="shared" si="14"/>
        <v>DELIVERED</v>
      </c>
    </row>
    <row r="915">
      <c r="A915" s="1" t="s">
        <v>2795</v>
      </c>
      <c r="B915" s="2">
        <f t="shared" si="1"/>
        <v>46153</v>
      </c>
      <c r="C915" s="1" t="s">
        <v>2796</v>
      </c>
      <c r="D915" s="3" t="str">
        <f t="shared" si="2"/>
        <v>SUJI</v>
      </c>
      <c r="E915" s="3" t="str">
        <f t="shared" si="3"/>
        <v>ANDHRA PRADESH</v>
      </c>
      <c r="F915" s="3" t="str">
        <f t="shared" si="4"/>
        <v>TIRUPATI</v>
      </c>
      <c r="G915" s="1" t="s">
        <v>2797</v>
      </c>
      <c r="H915" s="3" t="str">
        <f t="shared" si="5"/>
        <v>ELECTRONICS</v>
      </c>
      <c r="I915" s="3" t="str">
        <f t="shared" si="6"/>
        <v>WIRELESS EARBUDS</v>
      </c>
      <c r="J915" s="3">
        <f t="shared" si="7"/>
        <v>5</v>
      </c>
      <c r="K915" s="3">
        <f t="shared" si="8"/>
        <v>555</v>
      </c>
      <c r="L915" s="4">
        <f t="shared" si="9"/>
        <v>0</v>
      </c>
      <c r="M915" s="3">
        <f t="shared" si="10"/>
        <v>2775</v>
      </c>
      <c r="N915" s="3">
        <f t="shared" si="11"/>
        <v>1943</v>
      </c>
      <c r="O915" s="3">
        <f t="shared" si="12"/>
        <v>832</v>
      </c>
      <c r="P915" s="3" t="str">
        <f t="shared" si="13"/>
        <v>NET BANKING</v>
      </c>
      <c r="Q915" s="3" t="str">
        <f t="shared" si="14"/>
        <v>SHIPPED</v>
      </c>
    </row>
    <row r="916">
      <c r="A916" s="1" t="s">
        <v>2798</v>
      </c>
      <c r="B916" s="2">
        <f t="shared" si="1"/>
        <v>46083</v>
      </c>
      <c r="C916" s="1" t="s">
        <v>2799</v>
      </c>
      <c r="D916" s="3" t="str">
        <f t="shared" si="2"/>
        <v>RATHA</v>
      </c>
      <c r="E916" s="3" t="str">
        <f t="shared" si="3"/>
        <v>TELUGANA</v>
      </c>
      <c r="F916" s="3" t="str">
        <f t="shared" si="4"/>
        <v>HYDERABAD</v>
      </c>
      <c r="G916" s="1" t="s">
        <v>2800</v>
      </c>
      <c r="H916" s="3" t="str">
        <f t="shared" si="5"/>
        <v>SPORTS</v>
      </c>
      <c r="I916" s="3" t="str">
        <f t="shared" si="6"/>
        <v>FOOTBALL</v>
      </c>
      <c r="J916" s="3">
        <f t="shared" si="7"/>
        <v>1</v>
      </c>
      <c r="K916" s="3">
        <f t="shared" si="8"/>
        <v>127</v>
      </c>
      <c r="L916" s="4">
        <f t="shared" si="9"/>
        <v>0.17</v>
      </c>
      <c r="M916" s="3">
        <f t="shared" si="10"/>
        <v>105.41</v>
      </c>
      <c r="N916" s="3">
        <f t="shared" si="11"/>
        <v>74</v>
      </c>
      <c r="O916" s="3">
        <f t="shared" si="12"/>
        <v>31</v>
      </c>
      <c r="P916" s="3" t="str">
        <f t="shared" si="13"/>
        <v>WALLET</v>
      </c>
      <c r="Q916" s="3" t="str">
        <f t="shared" si="14"/>
        <v>CANCELLED</v>
      </c>
    </row>
    <row r="917">
      <c r="A917" s="1" t="s">
        <v>2801</v>
      </c>
      <c r="B917" s="2">
        <f t="shared" si="1"/>
        <v>46151</v>
      </c>
      <c r="C917" s="1" t="s">
        <v>2802</v>
      </c>
      <c r="D917" s="3" t="str">
        <f t="shared" si="2"/>
        <v>SUSA</v>
      </c>
      <c r="E917" s="3" t="str">
        <f t="shared" si="3"/>
        <v>UTTHRA PRADESH</v>
      </c>
      <c r="F917" s="3" t="str">
        <f t="shared" si="4"/>
        <v>LUCKNOW</v>
      </c>
      <c r="G917" s="1" t="s">
        <v>2803</v>
      </c>
      <c r="H917" s="3" t="str">
        <f t="shared" si="5"/>
        <v>FOOD</v>
      </c>
      <c r="I917" s="3" t="str">
        <f t="shared" si="6"/>
        <v>BIRIYANI</v>
      </c>
      <c r="J917" s="3">
        <f t="shared" si="7"/>
        <v>5</v>
      </c>
      <c r="K917" s="3">
        <f t="shared" si="8"/>
        <v>162</v>
      </c>
      <c r="L917" s="4">
        <f t="shared" si="9"/>
        <v>0.5</v>
      </c>
      <c r="M917" s="3">
        <f t="shared" si="10"/>
        <v>405</v>
      </c>
      <c r="N917" s="3">
        <f t="shared" si="11"/>
        <v>284</v>
      </c>
      <c r="O917" s="3">
        <f t="shared" si="12"/>
        <v>121</v>
      </c>
      <c r="P917" s="3" t="str">
        <f t="shared" si="13"/>
        <v>UPI</v>
      </c>
      <c r="Q917" s="3" t="str">
        <f t="shared" si="14"/>
        <v>RETURNED</v>
      </c>
    </row>
    <row r="918">
      <c r="A918" s="1" t="s">
        <v>2804</v>
      </c>
      <c r="B918" s="2">
        <f t="shared" si="1"/>
        <v>46337</v>
      </c>
      <c r="C918" s="1" t="s">
        <v>2805</v>
      </c>
      <c r="D918" s="3" t="str">
        <f t="shared" si="2"/>
        <v>NIVE</v>
      </c>
      <c r="E918" s="3" t="str">
        <f t="shared" si="3"/>
        <v>GUJARAT</v>
      </c>
      <c r="F918" s="3" t="str">
        <f t="shared" si="4"/>
        <v>SURAT</v>
      </c>
      <c r="G918" s="1" t="s">
        <v>2806</v>
      </c>
      <c r="H918" s="3" t="str">
        <f t="shared" si="5"/>
        <v>DRESS</v>
      </c>
      <c r="I918" s="3" t="str">
        <f t="shared" si="6"/>
        <v>WOMEN WAERS</v>
      </c>
      <c r="J918" s="3">
        <f t="shared" si="7"/>
        <v>4</v>
      </c>
      <c r="K918" s="3">
        <f t="shared" si="8"/>
        <v>481</v>
      </c>
      <c r="L918" s="4">
        <f t="shared" si="9"/>
        <v>0.2</v>
      </c>
      <c r="M918" s="3">
        <f t="shared" si="10"/>
        <v>1539.2</v>
      </c>
      <c r="N918" s="3">
        <f t="shared" si="11"/>
        <v>1077</v>
      </c>
      <c r="O918" s="3">
        <f t="shared" si="12"/>
        <v>462</v>
      </c>
      <c r="P918" s="3" t="str">
        <f t="shared" si="13"/>
        <v>CARD</v>
      </c>
      <c r="Q918" s="3" t="str">
        <f t="shared" si="14"/>
        <v>DELIVERED</v>
      </c>
    </row>
    <row r="919">
      <c r="A919" s="1" t="s">
        <v>2807</v>
      </c>
      <c r="B919" s="2">
        <f t="shared" si="1"/>
        <v>46133</v>
      </c>
      <c r="C919" s="1" t="s">
        <v>2808</v>
      </c>
      <c r="D919" s="3" t="str">
        <f t="shared" si="2"/>
        <v>VINO</v>
      </c>
      <c r="E919" s="3" t="str">
        <f t="shared" si="3"/>
        <v>RAJASTHAN</v>
      </c>
      <c r="F919" s="3" t="str">
        <f t="shared" si="4"/>
        <v>JAIPUR</v>
      </c>
      <c r="G919" s="1" t="s">
        <v>2809</v>
      </c>
      <c r="H919" s="3" t="str">
        <f t="shared" si="5"/>
        <v>BEAUTY</v>
      </c>
      <c r="I919" s="3" t="str">
        <f t="shared" si="6"/>
        <v>KAJAL</v>
      </c>
      <c r="J919" s="3">
        <f t="shared" si="7"/>
        <v>1</v>
      </c>
      <c r="K919" s="3">
        <f t="shared" si="8"/>
        <v>494</v>
      </c>
      <c r="L919" s="4">
        <f t="shared" si="9"/>
        <v>0.17</v>
      </c>
      <c r="M919" s="3">
        <f t="shared" si="10"/>
        <v>410.02</v>
      </c>
      <c r="N919" s="3">
        <f t="shared" si="11"/>
        <v>287</v>
      </c>
      <c r="O919" s="3">
        <f t="shared" si="12"/>
        <v>123</v>
      </c>
      <c r="P919" s="3" t="str">
        <f t="shared" si="13"/>
        <v>COD</v>
      </c>
      <c r="Q919" s="3" t="str">
        <f t="shared" si="14"/>
        <v>SHIPPED</v>
      </c>
    </row>
    <row r="920">
      <c r="A920" s="1" t="s">
        <v>2810</v>
      </c>
      <c r="B920" s="2">
        <f t="shared" si="1"/>
        <v>46256</v>
      </c>
      <c r="C920" s="1" t="s">
        <v>2811</v>
      </c>
      <c r="D920" s="3" t="str">
        <f t="shared" si="2"/>
        <v>ABI</v>
      </c>
      <c r="E920" s="3" t="str">
        <f t="shared" si="3"/>
        <v>WEST BENGAL</v>
      </c>
      <c r="F920" s="3" t="str">
        <f t="shared" si="4"/>
        <v>KOLKATA</v>
      </c>
      <c r="G920" s="1" t="s">
        <v>2812</v>
      </c>
      <c r="H920" s="3" t="str">
        <f t="shared" si="5"/>
        <v>HOME &amp; KITCHEN</v>
      </c>
      <c r="I920" s="3" t="str">
        <f t="shared" si="6"/>
        <v>MIXER GRAINDER</v>
      </c>
      <c r="J920" s="3">
        <f t="shared" si="7"/>
        <v>4</v>
      </c>
      <c r="K920" s="3">
        <f t="shared" si="8"/>
        <v>144</v>
      </c>
      <c r="L920" s="4">
        <f t="shared" si="9"/>
        <v>0</v>
      </c>
      <c r="M920" s="3">
        <f t="shared" si="10"/>
        <v>576</v>
      </c>
      <c r="N920" s="3">
        <f t="shared" si="11"/>
        <v>403</v>
      </c>
      <c r="O920" s="3">
        <f t="shared" si="12"/>
        <v>173</v>
      </c>
      <c r="P920" s="3" t="str">
        <f t="shared" si="13"/>
        <v>NET BANKING</v>
      </c>
      <c r="Q920" s="3" t="str">
        <f t="shared" si="14"/>
        <v>CANCELLED</v>
      </c>
    </row>
    <row r="921">
      <c r="A921" s="1" t="s">
        <v>2813</v>
      </c>
      <c r="B921" s="2">
        <f t="shared" si="1"/>
        <v>46176</v>
      </c>
      <c r="C921" s="1" t="s">
        <v>2814</v>
      </c>
      <c r="D921" s="3" t="str">
        <f t="shared" si="2"/>
        <v>NIHAAR</v>
      </c>
      <c r="E921" s="3" t="str">
        <f t="shared" si="3"/>
        <v>MAGARASTRA</v>
      </c>
      <c r="F921" s="3" t="str">
        <f t="shared" si="4"/>
        <v>PUNE</v>
      </c>
      <c r="G921" s="1" t="s">
        <v>2815</v>
      </c>
      <c r="H921" s="3" t="str">
        <f t="shared" si="5"/>
        <v>BOOKS</v>
      </c>
      <c r="I921" s="3" t="str">
        <f t="shared" si="6"/>
        <v>LIFE OF PI</v>
      </c>
      <c r="J921" s="3">
        <f t="shared" si="7"/>
        <v>1</v>
      </c>
      <c r="K921" s="3">
        <f t="shared" si="8"/>
        <v>525</v>
      </c>
      <c r="L921" s="4">
        <f t="shared" si="9"/>
        <v>0.5</v>
      </c>
      <c r="M921" s="3">
        <f t="shared" si="10"/>
        <v>262.5</v>
      </c>
      <c r="N921" s="3">
        <f t="shared" si="11"/>
        <v>184</v>
      </c>
      <c r="O921" s="3">
        <f t="shared" si="12"/>
        <v>79</v>
      </c>
      <c r="P921" s="3" t="str">
        <f t="shared" si="13"/>
        <v>WALLET</v>
      </c>
      <c r="Q921" s="3" t="str">
        <f t="shared" si="14"/>
        <v>RETURNED</v>
      </c>
    </row>
    <row r="922">
      <c r="A922" s="1" t="s">
        <v>2816</v>
      </c>
      <c r="B922" s="2">
        <f t="shared" si="1"/>
        <v>46366</v>
      </c>
      <c r="C922" s="1" t="s">
        <v>2817</v>
      </c>
      <c r="D922" s="3" t="str">
        <f t="shared" si="2"/>
        <v>SRI</v>
      </c>
      <c r="E922" s="3" t="str">
        <f t="shared" si="3"/>
        <v>TAMILNADU</v>
      </c>
      <c r="F922" s="3" t="str">
        <f t="shared" si="4"/>
        <v>THOOTHUKUDI</v>
      </c>
      <c r="G922" s="1" t="s">
        <v>2818</v>
      </c>
      <c r="H922" s="3" t="str">
        <f t="shared" si="5"/>
        <v>ACCESSORIES</v>
      </c>
      <c r="I922" s="3" t="str">
        <f t="shared" si="6"/>
        <v>EARRINGS</v>
      </c>
      <c r="J922" s="3">
        <f t="shared" si="7"/>
        <v>5</v>
      </c>
      <c r="K922" s="3">
        <f t="shared" si="8"/>
        <v>388</v>
      </c>
      <c r="L922" s="4">
        <f t="shared" si="9"/>
        <v>0.15</v>
      </c>
      <c r="M922" s="3">
        <f t="shared" si="10"/>
        <v>1649</v>
      </c>
      <c r="N922" s="3">
        <f t="shared" si="11"/>
        <v>1154</v>
      </c>
      <c r="O922" s="3">
        <f t="shared" si="12"/>
        <v>495</v>
      </c>
      <c r="P922" s="3" t="str">
        <f t="shared" si="13"/>
        <v>UPI</v>
      </c>
      <c r="Q922" s="3" t="str">
        <f t="shared" si="14"/>
        <v>DELIVERED</v>
      </c>
    </row>
    <row r="923">
      <c r="A923" s="1" t="s">
        <v>2819</v>
      </c>
      <c r="B923" s="2">
        <f t="shared" si="1"/>
        <v>46105</v>
      </c>
      <c r="C923" s="1" t="s">
        <v>2820</v>
      </c>
      <c r="D923" s="3" t="str">
        <f t="shared" si="2"/>
        <v>SHOBN</v>
      </c>
      <c r="E923" s="3" t="str">
        <f t="shared" si="3"/>
        <v>KERALA</v>
      </c>
      <c r="F923" s="3" t="str">
        <f t="shared" si="4"/>
        <v>KOCHI</v>
      </c>
      <c r="G923" s="1" t="s">
        <v>2821</v>
      </c>
      <c r="H923" s="3" t="str">
        <f t="shared" si="5"/>
        <v>ELECTRONICS</v>
      </c>
      <c r="I923" s="3" t="str">
        <f t="shared" si="6"/>
        <v>WIRELESS EARBUDS</v>
      </c>
      <c r="J923" s="3">
        <f t="shared" si="7"/>
        <v>5</v>
      </c>
      <c r="K923" s="3">
        <f t="shared" si="8"/>
        <v>279</v>
      </c>
      <c r="L923" s="4">
        <f t="shared" si="9"/>
        <v>0</v>
      </c>
      <c r="M923" s="3">
        <f t="shared" si="10"/>
        <v>1395</v>
      </c>
      <c r="N923" s="3">
        <f t="shared" si="11"/>
        <v>977</v>
      </c>
      <c r="O923" s="3">
        <f t="shared" si="12"/>
        <v>418</v>
      </c>
      <c r="P923" s="3" t="str">
        <f t="shared" si="13"/>
        <v>CARD</v>
      </c>
      <c r="Q923" s="3" t="str">
        <f t="shared" si="14"/>
        <v>SHIPPED</v>
      </c>
    </row>
    <row r="924">
      <c r="A924" s="1" t="s">
        <v>2822</v>
      </c>
      <c r="B924" s="2">
        <f t="shared" si="1"/>
        <v>46110</v>
      </c>
      <c r="C924" s="1" t="s">
        <v>2823</v>
      </c>
      <c r="D924" s="3" t="str">
        <f t="shared" si="2"/>
        <v>SOBI</v>
      </c>
      <c r="E924" s="3" t="str">
        <f t="shared" si="3"/>
        <v>KARNATAKA</v>
      </c>
      <c r="F924" s="3" t="str">
        <f t="shared" si="4"/>
        <v>BANGALURU</v>
      </c>
      <c r="G924" s="1" t="s">
        <v>2824</v>
      </c>
      <c r="H924" s="3" t="str">
        <f t="shared" si="5"/>
        <v>SPORTS</v>
      </c>
      <c r="I924" s="3" t="str">
        <f t="shared" si="6"/>
        <v>FOOTBALL</v>
      </c>
      <c r="J924" s="3">
        <f t="shared" si="7"/>
        <v>5</v>
      </c>
      <c r="K924" s="3">
        <f t="shared" si="8"/>
        <v>556</v>
      </c>
      <c r="L924" s="4">
        <f t="shared" si="9"/>
        <v>0.2</v>
      </c>
      <c r="M924" s="3">
        <f t="shared" si="10"/>
        <v>2224</v>
      </c>
      <c r="N924" s="3">
        <f t="shared" si="11"/>
        <v>1557</v>
      </c>
      <c r="O924" s="3">
        <f t="shared" si="12"/>
        <v>667</v>
      </c>
      <c r="P924" s="3" t="str">
        <f t="shared" si="13"/>
        <v>COD</v>
      </c>
      <c r="Q924" s="3" t="str">
        <f t="shared" si="14"/>
        <v>CANCELLED</v>
      </c>
    </row>
    <row r="925">
      <c r="A925" s="1" t="s">
        <v>2825</v>
      </c>
      <c r="B925" s="2">
        <f t="shared" si="1"/>
        <v>46056</v>
      </c>
      <c r="C925" s="1" t="s">
        <v>2826</v>
      </c>
      <c r="D925" s="3" t="str">
        <f t="shared" si="2"/>
        <v>SUJI</v>
      </c>
      <c r="E925" s="3" t="str">
        <f t="shared" si="3"/>
        <v>ANDHRA PRADESH</v>
      </c>
      <c r="F925" s="3" t="str">
        <f t="shared" si="4"/>
        <v>TIRUPATI</v>
      </c>
      <c r="G925" s="1" t="s">
        <v>2827</v>
      </c>
      <c r="H925" s="3" t="str">
        <f t="shared" si="5"/>
        <v>FOOD</v>
      </c>
      <c r="I925" s="3" t="str">
        <f t="shared" si="6"/>
        <v>BIRIYANI</v>
      </c>
      <c r="J925" s="3">
        <f t="shared" si="7"/>
        <v>4</v>
      </c>
      <c r="K925" s="3">
        <f t="shared" si="8"/>
        <v>454</v>
      </c>
      <c r="L925" s="4">
        <f t="shared" si="9"/>
        <v>0.17</v>
      </c>
      <c r="M925" s="3">
        <f t="shared" si="10"/>
        <v>1507.28</v>
      </c>
      <c r="N925" s="3">
        <f t="shared" si="11"/>
        <v>1055</v>
      </c>
      <c r="O925" s="3">
        <f t="shared" si="12"/>
        <v>452</v>
      </c>
      <c r="P925" s="3" t="str">
        <f t="shared" si="13"/>
        <v>NET BANKING</v>
      </c>
      <c r="Q925" s="3" t="str">
        <f t="shared" si="14"/>
        <v>RETURNED</v>
      </c>
    </row>
    <row r="926">
      <c r="A926" s="1" t="s">
        <v>2828</v>
      </c>
      <c r="B926" s="2">
        <f t="shared" si="1"/>
        <v>46251</v>
      </c>
      <c r="C926" s="1" t="s">
        <v>2829</v>
      </c>
      <c r="D926" s="3" t="str">
        <f t="shared" si="2"/>
        <v>RATHA</v>
      </c>
      <c r="E926" s="3" t="str">
        <f t="shared" si="3"/>
        <v>TELUGANA</v>
      </c>
      <c r="F926" s="3" t="str">
        <f t="shared" si="4"/>
        <v>HYDERABAD</v>
      </c>
      <c r="G926" s="1" t="s">
        <v>2830</v>
      </c>
      <c r="H926" s="3" t="str">
        <f t="shared" si="5"/>
        <v>DRESS</v>
      </c>
      <c r="I926" s="3" t="str">
        <f t="shared" si="6"/>
        <v>WOMEN WAERS</v>
      </c>
      <c r="J926" s="3">
        <f t="shared" si="7"/>
        <v>3</v>
      </c>
      <c r="K926" s="3">
        <f t="shared" si="8"/>
        <v>414</v>
      </c>
      <c r="L926" s="4">
        <f t="shared" si="9"/>
        <v>0</v>
      </c>
      <c r="M926" s="3">
        <f t="shared" si="10"/>
        <v>1242</v>
      </c>
      <c r="N926" s="3">
        <f t="shared" si="11"/>
        <v>869</v>
      </c>
      <c r="O926" s="3">
        <f t="shared" si="12"/>
        <v>373</v>
      </c>
      <c r="P926" s="3" t="str">
        <f t="shared" si="13"/>
        <v>WALLET</v>
      </c>
      <c r="Q926" s="3" t="str">
        <f t="shared" si="14"/>
        <v>DELIVERED</v>
      </c>
    </row>
    <row r="927">
      <c r="A927" s="1" t="s">
        <v>2831</v>
      </c>
      <c r="B927" s="2">
        <f t="shared" si="1"/>
        <v>46371</v>
      </c>
      <c r="C927" s="1" t="s">
        <v>2832</v>
      </c>
      <c r="D927" s="3" t="str">
        <f t="shared" si="2"/>
        <v>SUSA</v>
      </c>
      <c r="E927" s="3" t="str">
        <f t="shared" si="3"/>
        <v>UTTHRA PRADESH</v>
      </c>
      <c r="F927" s="3" t="str">
        <f t="shared" si="4"/>
        <v>LUCKNOW</v>
      </c>
      <c r="G927" s="1" t="s">
        <v>2833</v>
      </c>
      <c r="H927" s="3" t="str">
        <f t="shared" si="5"/>
        <v>BEAUTY</v>
      </c>
      <c r="I927" s="3" t="str">
        <f t="shared" si="6"/>
        <v>KAJAL</v>
      </c>
      <c r="J927" s="3">
        <f t="shared" si="7"/>
        <v>3</v>
      </c>
      <c r="K927" s="3">
        <f t="shared" si="8"/>
        <v>506</v>
      </c>
      <c r="L927" s="4">
        <f t="shared" si="9"/>
        <v>0.1</v>
      </c>
      <c r="M927" s="3">
        <f t="shared" si="10"/>
        <v>1366.2</v>
      </c>
      <c r="N927" s="3">
        <f t="shared" si="11"/>
        <v>956</v>
      </c>
      <c r="O927" s="3">
        <f t="shared" si="12"/>
        <v>410</v>
      </c>
      <c r="P927" s="3" t="str">
        <f t="shared" si="13"/>
        <v>UPI</v>
      </c>
      <c r="Q927" s="3" t="str">
        <f t="shared" si="14"/>
        <v>SHIPPED</v>
      </c>
    </row>
    <row r="928">
      <c r="A928" s="1" t="s">
        <v>2834</v>
      </c>
      <c r="B928" s="2">
        <f t="shared" si="1"/>
        <v>46213</v>
      </c>
      <c r="C928" s="1" t="s">
        <v>2835</v>
      </c>
      <c r="D928" s="3" t="str">
        <f t="shared" si="2"/>
        <v>NIVE</v>
      </c>
      <c r="E928" s="3" t="str">
        <f t="shared" si="3"/>
        <v>GUJARAT</v>
      </c>
      <c r="F928" s="3" t="str">
        <f t="shared" si="4"/>
        <v>SURAT</v>
      </c>
      <c r="G928" s="1" t="s">
        <v>2836</v>
      </c>
      <c r="H928" s="3" t="str">
        <f t="shared" si="5"/>
        <v>HOME &amp; KITCHEN</v>
      </c>
      <c r="I928" s="3" t="str">
        <f t="shared" si="6"/>
        <v>MIXER GRAINDER</v>
      </c>
      <c r="J928" s="3">
        <f t="shared" si="7"/>
        <v>4</v>
      </c>
      <c r="K928" s="3">
        <f t="shared" si="8"/>
        <v>473</v>
      </c>
      <c r="L928" s="4">
        <f t="shared" si="9"/>
        <v>0.17</v>
      </c>
      <c r="M928" s="3">
        <f t="shared" si="10"/>
        <v>1570.36</v>
      </c>
      <c r="N928" s="3">
        <f t="shared" si="11"/>
        <v>1099</v>
      </c>
      <c r="O928" s="3">
        <f t="shared" si="12"/>
        <v>471</v>
      </c>
      <c r="P928" s="3" t="str">
        <f t="shared" si="13"/>
        <v>CARD</v>
      </c>
      <c r="Q928" s="3" t="str">
        <f t="shared" si="14"/>
        <v>CANCELLED</v>
      </c>
    </row>
    <row r="929">
      <c r="A929" s="1" t="s">
        <v>2837</v>
      </c>
      <c r="B929" s="2">
        <f t="shared" si="1"/>
        <v>46258</v>
      </c>
      <c r="C929" s="1" t="s">
        <v>2838</v>
      </c>
      <c r="D929" s="3" t="str">
        <f t="shared" si="2"/>
        <v>VINO</v>
      </c>
      <c r="E929" s="3" t="str">
        <f t="shared" si="3"/>
        <v>RAJASTHAN</v>
      </c>
      <c r="F929" s="3" t="str">
        <f t="shared" si="4"/>
        <v>JAIPUR</v>
      </c>
      <c r="G929" s="1" t="s">
        <v>2839</v>
      </c>
      <c r="H929" s="3" t="str">
        <f t="shared" si="5"/>
        <v>BOOKS</v>
      </c>
      <c r="I929" s="3" t="str">
        <f t="shared" si="6"/>
        <v>LIFE OF PI</v>
      </c>
      <c r="J929" s="3">
        <f t="shared" si="7"/>
        <v>2</v>
      </c>
      <c r="K929" s="3">
        <f t="shared" si="8"/>
        <v>356</v>
      </c>
      <c r="L929" s="4">
        <f t="shared" si="9"/>
        <v>0.17</v>
      </c>
      <c r="M929" s="3">
        <f t="shared" si="10"/>
        <v>590.96</v>
      </c>
      <c r="N929" s="3">
        <f t="shared" si="11"/>
        <v>414</v>
      </c>
      <c r="O929" s="3">
        <f t="shared" si="12"/>
        <v>177</v>
      </c>
      <c r="P929" s="3" t="str">
        <f t="shared" si="13"/>
        <v>COD</v>
      </c>
      <c r="Q929" s="3" t="str">
        <f t="shared" si="14"/>
        <v>RETURNED</v>
      </c>
    </row>
    <row r="930">
      <c r="A930" s="1" t="s">
        <v>2840</v>
      </c>
      <c r="B930" s="2">
        <f t="shared" si="1"/>
        <v>46282</v>
      </c>
      <c r="C930" s="1" t="s">
        <v>2841</v>
      </c>
      <c r="D930" s="3" t="str">
        <f t="shared" si="2"/>
        <v>ABI</v>
      </c>
      <c r="E930" s="3" t="str">
        <f t="shared" si="3"/>
        <v>WEST BENGAL</v>
      </c>
      <c r="F930" s="3" t="str">
        <f t="shared" si="4"/>
        <v>KOLKATA</v>
      </c>
      <c r="G930" s="1" t="s">
        <v>2842</v>
      </c>
      <c r="H930" s="3" t="str">
        <f t="shared" si="5"/>
        <v>ACCESSORIES</v>
      </c>
      <c r="I930" s="3" t="str">
        <f t="shared" si="6"/>
        <v>EARRINGS</v>
      </c>
      <c r="J930" s="3">
        <f t="shared" si="7"/>
        <v>4</v>
      </c>
      <c r="K930" s="3">
        <f t="shared" si="8"/>
        <v>402</v>
      </c>
      <c r="L930" s="4">
        <f t="shared" si="9"/>
        <v>0.1</v>
      </c>
      <c r="M930" s="3">
        <f t="shared" si="10"/>
        <v>1447.2</v>
      </c>
      <c r="N930" s="3">
        <f t="shared" si="11"/>
        <v>1013</v>
      </c>
      <c r="O930" s="3">
        <f t="shared" si="12"/>
        <v>434</v>
      </c>
      <c r="P930" s="3" t="str">
        <f t="shared" si="13"/>
        <v>NET BANKING</v>
      </c>
      <c r="Q930" s="3" t="str">
        <f t="shared" si="14"/>
        <v>DELIVERED</v>
      </c>
    </row>
    <row r="931">
      <c r="A931" s="1" t="s">
        <v>2843</v>
      </c>
      <c r="B931" s="2">
        <f t="shared" si="1"/>
        <v>46104</v>
      </c>
      <c r="C931" s="1" t="s">
        <v>2844</v>
      </c>
      <c r="D931" s="3" t="str">
        <f t="shared" si="2"/>
        <v>NIHAAR</v>
      </c>
      <c r="E931" s="3" t="str">
        <f t="shared" si="3"/>
        <v>MAGARASTRA</v>
      </c>
      <c r="F931" s="3" t="str">
        <f t="shared" si="4"/>
        <v>PUNE</v>
      </c>
      <c r="G931" s="1" t="s">
        <v>2845</v>
      </c>
      <c r="H931" s="3" t="str">
        <f t="shared" si="5"/>
        <v>ELECTRONICS</v>
      </c>
      <c r="I931" s="3" t="str">
        <f t="shared" si="6"/>
        <v>WIRELESS EARBUDS</v>
      </c>
      <c r="J931" s="3">
        <f t="shared" si="7"/>
        <v>1</v>
      </c>
      <c r="K931" s="3">
        <f t="shared" si="8"/>
        <v>150</v>
      </c>
      <c r="L931" s="4">
        <f t="shared" si="9"/>
        <v>0.15</v>
      </c>
      <c r="M931" s="3">
        <f t="shared" si="10"/>
        <v>127.5</v>
      </c>
      <c r="N931" s="3">
        <f t="shared" si="11"/>
        <v>89</v>
      </c>
      <c r="O931" s="3">
        <f t="shared" si="12"/>
        <v>39</v>
      </c>
      <c r="P931" s="3" t="str">
        <f t="shared" si="13"/>
        <v>WALLET</v>
      </c>
      <c r="Q931" s="3" t="str">
        <f t="shared" si="14"/>
        <v>SHIPPED</v>
      </c>
    </row>
    <row r="932">
      <c r="A932" s="1" t="s">
        <v>2846</v>
      </c>
      <c r="B932" s="2">
        <f t="shared" si="1"/>
        <v>46186</v>
      </c>
      <c r="C932" s="1" t="s">
        <v>2847</v>
      </c>
      <c r="D932" s="3" t="str">
        <f t="shared" si="2"/>
        <v>SRI</v>
      </c>
      <c r="E932" s="3" t="str">
        <f t="shared" si="3"/>
        <v>TAMILNADU</v>
      </c>
      <c r="F932" s="3" t="str">
        <f t="shared" si="4"/>
        <v>THOOTHUKUDI</v>
      </c>
      <c r="G932" s="1" t="s">
        <v>2848</v>
      </c>
      <c r="H932" s="3" t="str">
        <f t="shared" si="5"/>
        <v>SPORTS</v>
      </c>
      <c r="I932" s="3" t="str">
        <f t="shared" si="6"/>
        <v>FOOTBALL</v>
      </c>
      <c r="J932" s="3">
        <f t="shared" si="7"/>
        <v>4</v>
      </c>
      <c r="K932" s="3">
        <f t="shared" si="8"/>
        <v>274</v>
      </c>
      <c r="L932" s="4">
        <f t="shared" si="9"/>
        <v>0.5</v>
      </c>
      <c r="M932" s="3">
        <f t="shared" si="10"/>
        <v>548</v>
      </c>
      <c r="N932" s="3">
        <f t="shared" si="11"/>
        <v>384</v>
      </c>
      <c r="O932" s="3">
        <f t="shared" si="12"/>
        <v>164</v>
      </c>
      <c r="P932" s="3" t="str">
        <f t="shared" si="13"/>
        <v>UPI</v>
      </c>
      <c r="Q932" s="3" t="str">
        <f t="shared" si="14"/>
        <v>CANCELLED</v>
      </c>
    </row>
    <row r="933">
      <c r="A933" s="1" t="s">
        <v>2849</v>
      </c>
      <c r="B933" s="2">
        <f t="shared" si="1"/>
        <v>46219</v>
      </c>
      <c r="C933" s="1" t="s">
        <v>2850</v>
      </c>
      <c r="D933" s="3" t="str">
        <f t="shared" si="2"/>
        <v>SHOBN</v>
      </c>
      <c r="E933" s="3" t="str">
        <f t="shared" si="3"/>
        <v>KERALA</v>
      </c>
      <c r="F933" s="3" t="str">
        <f t="shared" si="4"/>
        <v>KOCHI</v>
      </c>
      <c r="G933" s="1" t="s">
        <v>2851</v>
      </c>
      <c r="H933" s="3" t="str">
        <f t="shared" si="5"/>
        <v>FOOD</v>
      </c>
      <c r="I933" s="3" t="str">
        <f t="shared" si="6"/>
        <v>BIRIYANI</v>
      </c>
      <c r="J933" s="3">
        <f t="shared" si="7"/>
        <v>4</v>
      </c>
      <c r="K933" s="3">
        <f t="shared" si="8"/>
        <v>107</v>
      </c>
      <c r="L933" s="4">
        <f t="shared" si="9"/>
        <v>0.1</v>
      </c>
      <c r="M933" s="3">
        <f t="shared" si="10"/>
        <v>385.2</v>
      </c>
      <c r="N933" s="3">
        <f t="shared" si="11"/>
        <v>270</v>
      </c>
      <c r="O933" s="3">
        <f t="shared" si="12"/>
        <v>115</v>
      </c>
      <c r="P933" s="3" t="str">
        <f t="shared" si="13"/>
        <v>CARD</v>
      </c>
      <c r="Q933" s="3" t="str">
        <f t="shared" si="14"/>
        <v>RETURNED</v>
      </c>
    </row>
    <row r="934">
      <c r="A934" s="1" t="s">
        <v>2852</v>
      </c>
      <c r="B934" s="2">
        <f t="shared" si="1"/>
        <v>46093</v>
      </c>
      <c r="C934" s="1" t="s">
        <v>2853</v>
      </c>
      <c r="D934" s="3" t="str">
        <f t="shared" si="2"/>
        <v>SOBI</v>
      </c>
      <c r="E934" s="3" t="str">
        <f t="shared" si="3"/>
        <v>KARNATAKA</v>
      </c>
      <c r="F934" s="3" t="str">
        <f t="shared" si="4"/>
        <v>BANGALURU</v>
      </c>
      <c r="G934" s="1" t="s">
        <v>2854</v>
      </c>
      <c r="H934" s="3" t="str">
        <f t="shared" si="5"/>
        <v>DRESS</v>
      </c>
      <c r="I934" s="3" t="str">
        <f t="shared" si="6"/>
        <v>WOMEN WAERS</v>
      </c>
      <c r="J934" s="3">
        <f t="shared" si="7"/>
        <v>2</v>
      </c>
      <c r="K934" s="3">
        <f t="shared" si="8"/>
        <v>103</v>
      </c>
      <c r="L934" s="4">
        <f t="shared" si="9"/>
        <v>0.15</v>
      </c>
      <c r="M934" s="3">
        <f t="shared" si="10"/>
        <v>175.1</v>
      </c>
      <c r="N934" s="3">
        <f t="shared" si="11"/>
        <v>123</v>
      </c>
      <c r="O934" s="3">
        <f t="shared" si="12"/>
        <v>52</v>
      </c>
      <c r="P934" s="3" t="str">
        <f t="shared" si="13"/>
        <v>COD</v>
      </c>
      <c r="Q934" s="3" t="str">
        <f t="shared" si="14"/>
        <v>DELIVERED</v>
      </c>
    </row>
    <row r="935">
      <c r="A935" s="1" t="s">
        <v>2855</v>
      </c>
      <c r="B935" s="2">
        <f t="shared" si="1"/>
        <v>46312</v>
      </c>
      <c r="C935" s="1" t="s">
        <v>2856</v>
      </c>
      <c r="D935" s="3" t="str">
        <f t="shared" si="2"/>
        <v>SUJI</v>
      </c>
      <c r="E935" s="3" t="str">
        <f t="shared" si="3"/>
        <v>ANDHRA PRADESH</v>
      </c>
      <c r="F935" s="3" t="str">
        <f t="shared" si="4"/>
        <v>TIRUPATI</v>
      </c>
      <c r="G935" s="1" t="s">
        <v>2857</v>
      </c>
      <c r="H935" s="3" t="str">
        <f t="shared" si="5"/>
        <v>BEAUTY</v>
      </c>
      <c r="I935" s="3" t="str">
        <f t="shared" si="6"/>
        <v>KAJAL</v>
      </c>
      <c r="J935" s="3">
        <f t="shared" si="7"/>
        <v>3</v>
      </c>
      <c r="K935" s="3">
        <f t="shared" si="8"/>
        <v>556</v>
      </c>
      <c r="L935" s="4">
        <f t="shared" si="9"/>
        <v>0.2</v>
      </c>
      <c r="M935" s="3">
        <f t="shared" si="10"/>
        <v>1334.4</v>
      </c>
      <c r="N935" s="3">
        <f t="shared" si="11"/>
        <v>934</v>
      </c>
      <c r="O935" s="3">
        <f t="shared" si="12"/>
        <v>400</v>
      </c>
      <c r="P935" s="3" t="str">
        <f t="shared" si="13"/>
        <v>NET BANKING</v>
      </c>
      <c r="Q935" s="3" t="str">
        <f t="shared" si="14"/>
        <v>SHIPPED</v>
      </c>
    </row>
    <row r="936">
      <c r="A936" s="1" t="s">
        <v>2858</v>
      </c>
      <c r="B936" s="2">
        <f t="shared" si="1"/>
        <v>46066</v>
      </c>
      <c r="C936" s="1" t="s">
        <v>2859</v>
      </c>
      <c r="D936" s="3" t="str">
        <f t="shared" si="2"/>
        <v>RATHA</v>
      </c>
      <c r="E936" s="3" t="str">
        <f t="shared" si="3"/>
        <v>TELUGANA</v>
      </c>
      <c r="F936" s="3" t="str">
        <f t="shared" si="4"/>
        <v>HYDERABAD</v>
      </c>
      <c r="G936" s="1" t="s">
        <v>2860</v>
      </c>
      <c r="H936" s="3" t="str">
        <f t="shared" si="5"/>
        <v>HOME &amp; KITCHEN</v>
      </c>
      <c r="I936" s="3" t="str">
        <f t="shared" si="6"/>
        <v>MIXER GRAINDER</v>
      </c>
      <c r="J936" s="3">
        <f t="shared" si="7"/>
        <v>4</v>
      </c>
      <c r="K936" s="3">
        <f t="shared" si="8"/>
        <v>118</v>
      </c>
      <c r="L936" s="4">
        <f t="shared" si="9"/>
        <v>0.17</v>
      </c>
      <c r="M936" s="3">
        <f t="shared" si="10"/>
        <v>391.76</v>
      </c>
      <c r="N936" s="3">
        <f t="shared" si="11"/>
        <v>274</v>
      </c>
      <c r="O936" s="3">
        <f t="shared" si="12"/>
        <v>118</v>
      </c>
      <c r="P936" s="3" t="str">
        <f t="shared" si="13"/>
        <v>WALLET</v>
      </c>
      <c r="Q936" s="3" t="str">
        <f t="shared" si="14"/>
        <v>CANCELLED</v>
      </c>
    </row>
    <row r="937">
      <c r="A937" s="1" t="s">
        <v>2861</v>
      </c>
      <c r="B937" s="2">
        <f t="shared" si="1"/>
        <v>46307</v>
      </c>
      <c r="C937" s="1" t="s">
        <v>2862</v>
      </c>
      <c r="D937" s="3" t="str">
        <f t="shared" si="2"/>
        <v>SUSA</v>
      </c>
      <c r="E937" s="3" t="str">
        <f t="shared" si="3"/>
        <v>UTTHRA PRADESH</v>
      </c>
      <c r="F937" s="3" t="str">
        <f t="shared" si="4"/>
        <v>LUCKNOW</v>
      </c>
      <c r="G937" s="1" t="s">
        <v>2863</v>
      </c>
      <c r="H937" s="3" t="str">
        <f t="shared" si="5"/>
        <v>BOOKS</v>
      </c>
      <c r="I937" s="3" t="str">
        <f t="shared" si="6"/>
        <v>LIFE OF PI</v>
      </c>
      <c r="J937" s="3">
        <f t="shared" si="7"/>
        <v>4</v>
      </c>
      <c r="K937" s="3">
        <f t="shared" si="8"/>
        <v>565</v>
      </c>
      <c r="L937" s="4">
        <f t="shared" si="9"/>
        <v>0.2</v>
      </c>
      <c r="M937" s="3">
        <f t="shared" si="10"/>
        <v>1808</v>
      </c>
      <c r="N937" s="3">
        <f t="shared" si="11"/>
        <v>1266</v>
      </c>
      <c r="O937" s="3">
        <f t="shared" si="12"/>
        <v>542</v>
      </c>
      <c r="P937" s="3" t="str">
        <f t="shared" si="13"/>
        <v>UPI</v>
      </c>
      <c r="Q937" s="3" t="str">
        <f t="shared" si="14"/>
        <v>RETURNED</v>
      </c>
    </row>
    <row r="938">
      <c r="A938" s="1" t="s">
        <v>2864</v>
      </c>
      <c r="B938" s="2">
        <f t="shared" si="1"/>
        <v>46205</v>
      </c>
      <c r="C938" s="1" t="s">
        <v>2865</v>
      </c>
      <c r="D938" s="3" t="str">
        <f t="shared" si="2"/>
        <v>NIVE</v>
      </c>
      <c r="E938" s="3" t="str">
        <f t="shared" si="3"/>
        <v>GUJARAT</v>
      </c>
      <c r="F938" s="3" t="str">
        <f t="shared" si="4"/>
        <v>SURAT</v>
      </c>
      <c r="G938" s="1" t="s">
        <v>2866</v>
      </c>
      <c r="H938" s="3" t="str">
        <f t="shared" si="5"/>
        <v>ACCESSORIES</v>
      </c>
      <c r="I938" s="3" t="str">
        <f t="shared" si="6"/>
        <v>EARRINGS</v>
      </c>
      <c r="J938" s="3">
        <f t="shared" si="7"/>
        <v>5</v>
      </c>
      <c r="K938" s="3">
        <f t="shared" si="8"/>
        <v>440</v>
      </c>
      <c r="L938" s="4">
        <f t="shared" si="9"/>
        <v>0.17</v>
      </c>
      <c r="M938" s="3">
        <f t="shared" si="10"/>
        <v>1826</v>
      </c>
      <c r="N938" s="3">
        <f t="shared" si="11"/>
        <v>1278</v>
      </c>
      <c r="O938" s="3">
        <f t="shared" si="12"/>
        <v>548</v>
      </c>
      <c r="P938" s="3" t="str">
        <f t="shared" si="13"/>
        <v>CARD</v>
      </c>
      <c r="Q938" s="3" t="str">
        <f t="shared" si="14"/>
        <v>DELIVERED</v>
      </c>
    </row>
    <row r="939">
      <c r="A939" s="1" t="s">
        <v>2867</v>
      </c>
      <c r="B939" s="2">
        <f t="shared" si="1"/>
        <v>46119</v>
      </c>
      <c r="C939" s="1" t="s">
        <v>2868</v>
      </c>
      <c r="D939" s="3" t="str">
        <f t="shared" si="2"/>
        <v>VINO</v>
      </c>
      <c r="E939" s="3" t="str">
        <f t="shared" si="3"/>
        <v>RAJASTHAN</v>
      </c>
      <c r="F939" s="3" t="str">
        <f t="shared" si="4"/>
        <v>JAIPUR</v>
      </c>
      <c r="G939" s="1" t="s">
        <v>2869</v>
      </c>
      <c r="H939" s="3" t="str">
        <f t="shared" si="5"/>
        <v>ELECTRONICS</v>
      </c>
      <c r="I939" s="3" t="str">
        <f t="shared" si="6"/>
        <v>WIRELESS EARBUDS</v>
      </c>
      <c r="J939" s="3">
        <f t="shared" si="7"/>
        <v>2</v>
      </c>
      <c r="K939" s="3">
        <f t="shared" si="8"/>
        <v>262</v>
      </c>
      <c r="L939" s="4">
        <f t="shared" si="9"/>
        <v>0.2</v>
      </c>
      <c r="M939" s="3">
        <f t="shared" si="10"/>
        <v>419.2</v>
      </c>
      <c r="N939" s="3">
        <f t="shared" si="11"/>
        <v>293</v>
      </c>
      <c r="O939" s="3">
        <f t="shared" si="12"/>
        <v>126</v>
      </c>
      <c r="P939" s="3" t="str">
        <f t="shared" si="13"/>
        <v>COD</v>
      </c>
      <c r="Q939" s="3" t="str">
        <f t="shared" si="14"/>
        <v>SHIPPED</v>
      </c>
    </row>
    <row r="940">
      <c r="A940" s="1" t="s">
        <v>2870</v>
      </c>
      <c r="B940" s="2">
        <f t="shared" si="1"/>
        <v>46076</v>
      </c>
      <c r="C940" s="1" t="s">
        <v>2871</v>
      </c>
      <c r="D940" s="3" t="str">
        <f t="shared" si="2"/>
        <v>ABI</v>
      </c>
      <c r="E940" s="3" t="str">
        <f t="shared" si="3"/>
        <v>WEST BENGAL</v>
      </c>
      <c r="F940" s="3" t="str">
        <f t="shared" si="4"/>
        <v>KOLKATA</v>
      </c>
      <c r="G940" s="1" t="s">
        <v>2872</v>
      </c>
      <c r="H940" s="3" t="str">
        <f t="shared" si="5"/>
        <v>SPORTS</v>
      </c>
      <c r="I940" s="3" t="str">
        <f t="shared" si="6"/>
        <v>FOOTBALL</v>
      </c>
      <c r="J940" s="3">
        <f t="shared" si="7"/>
        <v>5</v>
      </c>
      <c r="K940" s="3">
        <f t="shared" si="8"/>
        <v>533</v>
      </c>
      <c r="L940" s="4">
        <f t="shared" si="9"/>
        <v>0</v>
      </c>
      <c r="M940" s="3">
        <f t="shared" si="10"/>
        <v>2665</v>
      </c>
      <c r="N940" s="3">
        <f t="shared" si="11"/>
        <v>1866</v>
      </c>
      <c r="O940" s="3">
        <f t="shared" si="12"/>
        <v>799</v>
      </c>
      <c r="P940" s="3" t="str">
        <f t="shared" si="13"/>
        <v>NET BANKING</v>
      </c>
      <c r="Q940" s="3" t="str">
        <f t="shared" si="14"/>
        <v>CANCELLED</v>
      </c>
    </row>
    <row r="941">
      <c r="A941" s="1" t="s">
        <v>2873</v>
      </c>
      <c r="B941" s="2">
        <f t="shared" si="1"/>
        <v>46133</v>
      </c>
      <c r="C941" s="1" t="s">
        <v>2874</v>
      </c>
      <c r="D941" s="3" t="str">
        <f t="shared" si="2"/>
        <v>NIHAAR</v>
      </c>
      <c r="E941" s="3" t="str">
        <f t="shared" si="3"/>
        <v>MAGARASTRA</v>
      </c>
      <c r="F941" s="3" t="str">
        <f t="shared" si="4"/>
        <v>PUNE</v>
      </c>
      <c r="G941" s="1" t="s">
        <v>2875</v>
      </c>
      <c r="H941" s="3" t="str">
        <f t="shared" si="5"/>
        <v>FOOD</v>
      </c>
      <c r="I941" s="3" t="str">
        <f t="shared" si="6"/>
        <v>BIRIYANI</v>
      </c>
      <c r="J941" s="3">
        <f t="shared" si="7"/>
        <v>5</v>
      </c>
      <c r="K941" s="3">
        <f t="shared" si="8"/>
        <v>493</v>
      </c>
      <c r="L941" s="4">
        <f t="shared" si="9"/>
        <v>0.17</v>
      </c>
      <c r="M941" s="3">
        <f t="shared" si="10"/>
        <v>2045.95</v>
      </c>
      <c r="N941" s="3">
        <f t="shared" si="11"/>
        <v>1432</v>
      </c>
      <c r="O941" s="3">
        <f t="shared" si="12"/>
        <v>614</v>
      </c>
      <c r="P941" s="3" t="str">
        <f t="shared" si="13"/>
        <v>WALLET</v>
      </c>
      <c r="Q941" s="3" t="str">
        <f t="shared" si="14"/>
        <v>RETURNED</v>
      </c>
    </row>
    <row r="942">
      <c r="A942" s="1" t="s">
        <v>2876</v>
      </c>
      <c r="B942" s="2">
        <f t="shared" si="1"/>
        <v>46228</v>
      </c>
      <c r="C942" s="1" t="s">
        <v>2877</v>
      </c>
      <c r="D942" s="3" t="str">
        <f t="shared" si="2"/>
        <v>SRI</v>
      </c>
      <c r="E942" s="3" t="str">
        <f t="shared" si="3"/>
        <v>TAMILNADU</v>
      </c>
      <c r="F942" s="3" t="str">
        <f t="shared" si="4"/>
        <v>THOOTHUKUDI</v>
      </c>
      <c r="G942" s="1" t="s">
        <v>2878</v>
      </c>
      <c r="H942" s="3" t="str">
        <f t="shared" si="5"/>
        <v>DRESS</v>
      </c>
      <c r="I942" s="3" t="str">
        <f t="shared" si="6"/>
        <v>WOMEN WAERS</v>
      </c>
      <c r="J942" s="3">
        <f t="shared" si="7"/>
        <v>1</v>
      </c>
      <c r="K942" s="3">
        <f t="shared" si="8"/>
        <v>409</v>
      </c>
      <c r="L942" s="4">
        <f t="shared" si="9"/>
        <v>0.5</v>
      </c>
      <c r="M942" s="3">
        <f t="shared" si="10"/>
        <v>204.5</v>
      </c>
      <c r="N942" s="3">
        <f t="shared" si="11"/>
        <v>143</v>
      </c>
      <c r="O942" s="3">
        <f t="shared" si="12"/>
        <v>62</v>
      </c>
      <c r="P942" s="3" t="str">
        <f t="shared" si="13"/>
        <v>UPI</v>
      </c>
      <c r="Q942" s="3" t="str">
        <f t="shared" si="14"/>
        <v>DELIVERED</v>
      </c>
    </row>
    <row r="943">
      <c r="A943" s="1" t="s">
        <v>2879</v>
      </c>
      <c r="B943" s="2">
        <f t="shared" si="1"/>
        <v>46029</v>
      </c>
      <c r="C943" s="1" t="s">
        <v>2880</v>
      </c>
      <c r="D943" s="3" t="str">
        <f t="shared" si="2"/>
        <v>SHOBN</v>
      </c>
      <c r="E943" s="3" t="str">
        <f t="shared" si="3"/>
        <v>KERALA</v>
      </c>
      <c r="F943" s="3" t="str">
        <f t="shared" si="4"/>
        <v>KOCHI</v>
      </c>
      <c r="G943" s="1" t="s">
        <v>2881</v>
      </c>
      <c r="H943" s="3" t="str">
        <f t="shared" si="5"/>
        <v>BEAUTY</v>
      </c>
      <c r="I943" s="3" t="str">
        <f t="shared" si="6"/>
        <v>KAJAL</v>
      </c>
      <c r="J943" s="3">
        <f t="shared" si="7"/>
        <v>5</v>
      </c>
      <c r="K943" s="3">
        <f t="shared" si="8"/>
        <v>122</v>
      </c>
      <c r="L943" s="4">
        <f t="shared" si="9"/>
        <v>0.1</v>
      </c>
      <c r="M943" s="3">
        <f t="shared" si="10"/>
        <v>549</v>
      </c>
      <c r="N943" s="3">
        <f t="shared" si="11"/>
        <v>384</v>
      </c>
      <c r="O943" s="3">
        <f t="shared" si="12"/>
        <v>165</v>
      </c>
      <c r="P943" s="3" t="str">
        <f t="shared" si="13"/>
        <v>CARD</v>
      </c>
      <c r="Q943" s="3" t="str">
        <f t="shared" si="14"/>
        <v>SHIPPED</v>
      </c>
    </row>
    <row r="944">
      <c r="A944" s="1" t="s">
        <v>2882</v>
      </c>
      <c r="B944" s="2">
        <f t="shared" si="1"/>
        <v>46139</v>
      </c>
      <c r="C944" s="1" t="s">
        <v>2883</v>
      </c>
      <c r="D944" s="3" t="str">
        <f t="shared" si="2"/>
        <v>SOBI</v>
      </c>
      <c r="E944" s="3" t="str">
        <f t="shared" si="3"/>
        <v>KARNATAKA</v>
      </c>
      <c r="F944" s="3" t="str">
        <f t="shared" si="4"/>
        <v>BANGALURU</v>
      </c>
      <c r="G944" s="1" t="s">
        <v>2884</v>
      </c>
      <c r="H944" s="3" t="str">
        <f t="shared" si="5"/>
        <v>HOME &amp; KITCHEN</v>
      </c>
      <c r="I944" s="3" t="str">
        <f t="shared" si="6"/>
        <v>MIXER GRAINDER</v>
      </c>
      <c r="J944" s="3">
        <f t="shared" si="7"/>
        <v>2</v>
      </c>
      <c r="K944" s="3">
        <f t="shared" si="8"/>
        <v>446</v>
      </c>
      <c r="L944" s="4">
        <f t="shared" si="9"/>
        <v>0.17</v>
      </c>
      <c r="M944" s="3">
        <f t="shared" si="10"/>
        <v>740.36</v>
      </c>
      <c r="N944" s="3">
        <f t="shared" si="11"/>
        <v>518</v>
      </c>
      <c r="O944" s="3">
        <f t="shared" si="12"/>
        <v>222</v>
      </c>
      <c r="P944" s="3" t="str">
        <f t="shared" si="13"/>
        <v>COD</v>
      </c>
      <c r="Q944" s="3" t="str">
        <f t="shared" si="14"/>
        <v>CANCELLED</v>
      </c>
    </row>
    <row r="945">
      <c r="A945" s="1" t="s">
        <v>2885</v>
      </c>
      <c r="B945" s="2">
        <f t="shared" si="1"/>
        <v>46165</v>
      </c>
      <c r="C945" s="1" t="s">
        <v>2886</v>
      </c>
      <c r="D945" s="3" t="str">
        <f t="shared" si="2"/>
        <v>SUJI</v>
      </c>
      <c r="E945" s="3" t="str">
        <f t="shared" si="3"/>
        <v>ANDHRA PRADESH</v>
      </c>
      <c r="F945" s="3" t="str">
        <f t="shared" si="4"/>
        <v>TIRUPATI</v>
      </c>
      <c r="G945" s="1" t="s">
        <v>2887</v>
      </c>
      <c r="H945" s="3" t="str">
        <f t="shared" si="5"/>
        <v>BOOKS</v>
      </c>
      <c r="I945" s="3" t="str">
        <f t="shared" si="6"/>
        <v>LIFE OF PI</v>
      </c>
      <c r="J945" s="3">
        <f t="shared" si="7"/>
        <v>4</v>
      </c>
      <c r="K945" s="3">
        <f t="shared" si="8"/>
        <v>307</v>
      </c>
      <c r="L945" s="4">
        <f t="shared" si="9"/>
        <v>0</v>
      </c>
      <c r="M945" s="3">
        <f t="shared" si="10"/>
        <v>1228</v>
      </c>
      <c r="N945" s="3">
        <f t="shared" si="11"/>
        <v>860</v>
      </c>
      <c r="O945" s="3">
        <f t="shared" si="12"/>
        <v>368</v>
      </c>
      <c r="P945" s="3" t="str">
        <f t="shared" si="13"/>
        <v>NET BANKING</v>
      </c>
      <c r="Q945" s="3" t="str">
        <f t="shared" si="14"/>
        <v>RETURNED</v>
      </c>
    </row>
    <row r="946">
      <c r="A946" s="1" t="s">
        <v>2888</v>
      </c>
      <c r="B946" s="2">
        <f t="shared" si="1"/>
        <v>46340</v>
      </c>
      <c r="C946" s="1" t="s">
        <v>2889</v>
      </c>
      <c r="D946" s="3" t="str">
        <f t="shared" si="2"/>
        <v>RATHA</v>
      </c>
      <c r="E946" s="3" t="str">
        <f t="shared" si="3"/>
        <v>TELUGANA</v>
      </c>
      <c r="F946" s="3" t="str">
        <f t="shared" si="4"/>
        <v>HYDERABAD</v>
      </c>
      <c r="G946" s="1" t="s">
        <v>2890</v>
      </c>
      <c r="H946" s="3" t="str">
        <f t="shared" si="5"/>
        <v>ACCESSORIES</v>
      </c>
      <c r="I946" s="3" t="str">
        <f t="shared" si="6"/>
        <v>EARRINGS</v>
      </c>
      <c r="J946" s="3">
        <f t="shared" si="7"/>
        <v>4</v>
      </c>
      <c r="K946" s="3">
        <f t="shared" si="8"/>
        <v>150</v>
      </c>
      <c r="L946" s="4">
        <f t="shared" si="9"/>
        <v>0.5</v>
      </c>
      <c r="M946" s="3">
        <f t="shared" si="10"/>
        <v>300</v>
      </c>
      <c r="N946" s="3">
        <f t="shared" si="11"/>
        <v>210</v>
      </c>
      <c r="O946" s="3">
        <f t="shared" si="12"/>
        <v>90</v>
      </c>
      <c r="P946" s="3" t="str">
        <f t="shared" si="13"/>
        <v>WALLET</v>
      </c>
      <c r="Q946" s="3" t="str">
        <f t="shared" si="14"/>
        <v>DELIVERED</v>
      </c>
    </row>
    <row r="947">
      <c r="A947" s="1" t="s">
        <v>2891</v>
      </c>
      <c r="B947" s="2">
        <f t="shared" si="1"/>
        <v>46146</v>
      </c>
      <c r="C947" s="1" t="s">
        <v>2892</v>
      </c>
      <c r="D947" s="3" t="str">
        <f t="shared" si="2"/>
        <v>SUSA</v>
      </c>
      <c r="E947" s="3" t="str">
        <f t="shared" si="3"/>
        <v>UTTHRA PRADESH</v>
      </c>
      <c r="F947" s="3" t="str">
        <f t="shared" si="4"/>
        <v>LUCKNOW</v>
      </c>
      <c r="G947" s="1" t="s">
        <v>2893</v>
      </c>
      <c r="H947" s="3" t="str">
        <f t="shared" si="5"/>
        <v>ELECTRONICS</v>
      </c>
      <c r="I947" s="3" t="str">
        <f t="shared" si="6"/>
        <v>WIRELESS EARBUDS</v>
      </c>
      <c r="J947" s="3">
        <f t="shared" si="7"/>
        <v>3</v>
      </c>
      <c r="K947" s="3">
        <f t="shared" si="8"/>
        <v>553</v>
      </c>
      <c r="L947" s="4">
        <f t="shared" si="9"/>
        <v>0.15</v>
      </c>
      <c r="M947" s="3">
        <f t="shared" si="10"/>
        <v>1410.15</v>
      </c>
      <c r="N947" s="3">
        <f t="shared" si="11"/>
        <v>987</v>
      </c>
      <c r="O947" s="3">
        <f t="shared" si="12"/>
        <v>423</v>
      </c>
      <c r="P947" s="3" t="str">
        <f t="shared" si="13"/>
        <v>UPI</v>
      </c>
      <c r="Q947" s="3" t="str">
        <f t="shared" si="14"/>
        <v>SHIPPED</v>
      </c>
    </row>
    <row r="948">
      <c r="A948" s="1" t="s">
        <v>2894</v>
      </c>
      <c r="B948" s="2">
        <f t="shared" si="1"/>
        <v>46071</v>
      </c>
      <c r="C948" s="1" t="s">
        <v>2895</v>
      </c>
      <c r="D948" s="3" t="str">
        <f t="shared" si="2"/>
        <v>NIVE</v>
      </c>
      <c r="E948" s="3" t="str">
        <f t="shared" si="3"/>
        <v>GUJARAT</v>
      </c>
      <c r="F948" s="3" t="str">
        <f t="shared" si="4"/>
        <v>SURAT</v>
      </c>
      <c r="G948" s="1" t="s">
        <v>2896</v>
      </c>
      <c r="H948" s="3" t="str">
        <f t="shared" si="5"/>
        <v>SPORTS</v>
      </c>
      <c r="I948" s="3" t="str">
        <f t="shared" si="6"/>
        <v>FOOTBALL</v>
      </c>
      <c r="J948" s="3">
        <f t="shared" si="7"/>
        <v>3</v>
      </c>
      <c r="K948" s="3">
        <f t="shared" si="8"/>
        <v>256</v>
      </c>
      <c r="L948" s="4">
        <f t="shared" si="9"/>
        <v>0.1</v>
      </c>
      <c r="M948" s="3">
        <f t="shared" si="10"/>
        <v>691.2</v>
      </c>
      <c r="N948" s="3">
        <f t="shared" si="11"/>
        <v>484</v>
      </c>
      <c r="O948" s="3">
        <f t="shared" si="12"/>
        <v>207</v>
      </c>
      <c r="P948" s="3" t="str">
        <f t="shared" si="13"/>
        <v>CARD</v>
      </c>
      <c r="Q948" s="3" t="str">
        <f t="shared" si="14"/>
        <v>CANCELLED</v>
      </c>
    </row>
    <row r="949">
      <c r="A949" s="1" t="s">
        <v>2897</v>
      </c>
      <c r="B949" s="2">
        <f t="shared" si="1"/>
        <v>46204</v>
      </c>
      <c r="C949" s="1" t="s">
        <v>2898</v>
      </c>
      <c r="D949" s="3" t="str">
        <f t="shared" si="2"/>
        <v>VINO</v>
      </c>
      <c r="E949" s="3" t="str">
        <f t="shared" si="3"/>
        <v>RAJASTHAN</v>
      </c>
      <c r="F949" s="3" t="str">
        <f t="shared" si="4"/>
        <v>JAIPUR</v>
      </c>
      <c r="G949" s="1" t="s">
        <v>2899</v>
      </c>
      <c r="H949" s="3" t="str">
        <f t="shared" si="5"/>
        <v>FOOD</v>
      </c>
      <c r="I949" s="3" t="str">
        <f t="shared" si="6"/>
        <v>BIRIYANI</v>
      </c>
      <c r="J949" s="3">
        <f t="shared" si="7"/>
        <v>1</v>
      </c>
      <c r="K949" s="3">
        <f t="shared" si="8"/>
        <v>555</v>
      </c>
      <c r="L949" s="4">
        <f t="shared" si="9"/>
        <v>0.2</v>
      </c>
      <c r="M949" s="3">
        <f t="shared" si="10"/>
        <v>444</v>
      </c>
      <c r="N949" s="3">
        <f t="shared" si="11"/>
        <v>311</v>
      </c>
      <c r="O949" s="3">
        <f t="shared" si="12"/>
        <v>133</v>
      </c>
      <c r="P949" s="3" t="str">
        <f t="shared" si="13"/>
        <v>COD</v>
      </c>
      <c r="Q949" s="3" t="str">
        <f t="shared" si="14"/>
        <v>RETURNED</v>
      </c>
    </row>
    <row r="950">
      <c r="A950" s="1" t="s">
        <v>2900</v>
      </c>
      <c r="B950" s="2">
        <f t="shared" si="1"/>
        <v>46258</v>
      </c>
      <c r="C950" s="1" t="s">
        <v>2901</v>
      </c>
      <c r="D950" s="3" t="str">
        <f t="shared" si="2"/>
        <v>ABI</v>
      </c>
      <c r="E950" s="3" t="str">
        <f t="shared" si="3"/>
        <v>WEST BENGAL</v>
      </c>
      <c r="F950" s="3" t="str">
        <f t="shared" si="4"/>
        <v>KOLKATA</v>
      </c>
      <c r="G950" s="1" t="s">
        <v>2902</v>
      </c>
      <c r="H950" s="3" t="str">
        <f t="shared" si="5"/>
        <v>DRESS</v>
      </c>
      <c r="I950" s="3" t="str">
        <f t="shared" si="6"/>
        <v>WOMEN WAERS</v>
      </c>
      <c r="J950" s="3">
        <f t="shared" si="7"/>
        <v>4</v>
      </c>
      <c r="K950" s="3">
        <f t="shared" si="8"/>
        <v>394</v>
      </c>
      <c r="L950" s="4">
        <f t="shared" si="9"/>
        <v>0.2</v>
      </c>
      <c r="M950" s="3">
        <f t="shared" si="10"/>
        <v>1260.8</v>
      </c>
      <c r="N950" s="3">
        <f t="shared" si="11"/>
        <v>883</v>
      </c>
      <c r="O950" s="3">
        <f t="shared" si="12"/>
        <v>378</v>
      </c>
      <c r="P950" s="3" t="str">
        <f t="shared" si="13"/>
        <v>NET BANKING</v>
      </c>
      <c r="Q950" s="3" t="str">
        <f t="shared" si="14"/>
        <v>DELIVERED</v>
      </c>
    </row>
    <row r="951">
      <c r="A951" s="1" t="s">
        <v>2903</v>
      </c>
      <c r="B951" s="2">
        <f t="shared" si="1"/>
        <v>46320</v>
      </c>
      <c r="C951" s="1" t="s">
        <v>2904</v>
      </c>
      <c r="D951" s="3" t="str">
        <f t="shared" si="2"/>
        <v>NIHAAR</v>
      </c>
      <c r="E951" s="3" t="str">
        <f t="shared" si="3"/>
        <v>MAGARASTRA</v>
      </c>
      <c r="F951" s="3" t="str">
        <f t="shared" si="4"/>
        <v>PUNE</v>
      </c>
      <c r="G951" s="1" t="s">
        <v>2905</v>
      </c>
      <c r="H951" s="3" t="str">
        <f t="shared" si="5"/>
        <v>BEAUTY</v>
      </c>
      <c r="I951" s="3" t="str">
        <f t="shared" si="6"/>
        <v>KAJAL</v>
      </c>
      <c r="J951" s="3">
        <f t="shared" si="7"/>
        <v>3</v>
      </c>
      <c r="K951" s="3">
        <f t="shared" si="8"/>
        <v>175</v>
      </c>
      <c r="L951" s="4">
        <f t="shared" si="9"/>
        <v>0.2</v>
      </c>
      <c r="M951" s="3">
        <f t="shared" si="10"/>
        <v>420</v>
      </c>
      <c r="N951" s="3">
        <f t="shared" si="11"/>
        <v>294</v>
      </c>
      <c r="O951" s="3">
        <f t="shared" si="12"/>
        <v>126</v>
      </c>
      <c r="P951" s="3" t="str">
        <f t="shared" si="13"/>
        <v>WALLET</v>
      </c>
      <c r="Q951" s="3" t="str">
        <f t="shared" si="14"/>
        <v>SHIPPED</v>
      </c>
    </row>
    <row r="952">
      <c r="A952" s="1" t="s">
        <v>2906</v>
      </c>
      <c r="B952" s="2">
        <f t="shared" si="1"/>
        <v>46139</v>
      </c>
      <c r="C952" s="1" t="s">
        <v>2907</v>
      </c>
      <c r="D952" s="3" t="str">
        <f t="shared" si="2"/>
        <v>SRI</v>
      </c>
      <c r="E952" s="3" t="str">
        <f t="shared" si="3"/>
        <v>TAMILNADU</v>
      </c>
      <c r="F952" s="3" t="str">
        <f t="shared" si="4"/>
        <v>THOOTHUKUDI</v>
      </c>
      <c r="G952" s="1" t="s">
        <v>2908</v>
      </c>
      <c r="H952" s="3" t="str">
        <f t="shared" si="5"/>
        <v>HOME &amp; KITCHEN</v>
      </c>
      <c r="I952" s="3" t="str">
        <f t="shared" si="6"/>
        <v>MIXER GRAINDER</v>
      </c>
      <c r="J952" s="3">
        <f t="shared" si="7"/>
        <v>5</v>
      </c>
      <c r="K952" s="3">
        <f t="shared" si="8"/>
        <v>398</v>
      </c>
      <c r="L952" s="4">
        <f t="shared" si="9"/>
        <v>0.5</v>
      </c>
      <c r="M952" s="3">
        <f t="shared" si="10"/>
        <v>995</v>
      </c>
      <c r="N952" s="3">
        <f t="shared" si="11"/>
        <v>697</v>
      </c>
      <c r="O952" s="3">
        <f t="shared" si="12"/>
        <v>298</v>
      </c>
      <c r="P952" s="3" t="str">
        <f t="shared" si="13"/>
        <v>UPI</v>
      </c>
      <c r="Q952" s="3" t="str">
        <f t="shared" si="14"/>
        <v>CANCELLED</v>
      </c>
    </row>
    <row r="953">
      <c r="A953" s="1" t="s">
        <v>2909</v>
      </c>
      <c r="B953" s="2">
        <f t="shared" si="1"/>
        <v>46027</v>
      </c>
      <c r="C953" s="1" t="s">
        <v>2910</v>
      </c>
      <c r="D953" s="3" t="str">
        <f t="shared" si="2"/>
        <v>SHOBN</v>
      </c>
      <c r="E953" s="3" t="str">
        <f t="shared" si="3"/>
        <v>KERALA</v>
      </c>
      <c r="F953" s="3" t="str">
        <f t="shared" si="4"/>
        <v>KOCHI</v>
      </c>
      <c r="G953" s="1" t="s">
        <v>2911</v>
      </c>
      <c r="H953" s="3" t="str">
        <f t="shared" si="5"/>
        <v>BOOKS</v>
      </c>
      <c r="I953" s="3" t="str">
        <f t="shared" si="6"/>
        <v>LIFE OF PI</v>
      </c>
      <c r="J953" s="3">
        <f t="shared" si="7"/>
        <v>4</v>
      </c>
      <c r="K953" s="3">
        <f t="shared" si="8"/>
        <v>476</v>
      </c>
      <c r="L953" s="4">
        <f t="shared" si="9"/>
        <v>0.1</v>
      </c>
      <c r="M953" s="3">
        <f t="shared" si="10"/>
        <v>1713.6</v>
      </c>
      <c r="N953" s="3">
        <f t="shared" si="11"/>
        <v>1200</v>
      </c>
      <c r="O953" s="3">
        <f t="shared" si="12"/>
        <v>514</v>
      </c>
      <c r="P953" s="3" t="str">
        <f t="shared" si="13"/>
        <v>CARD</v>
      </c>
      <c r="Q953" s="3" t="str">
        <f t="shared" si="14"/>
        <v>RETURNED</v>
      </c>
    </row>
    <row r="954">
      <c r="A954" s="1" t="s">
        <v>2912</v>
      </c>
      <c r="B954" s="2">
        <f t="shared" si="1"/>
        <v>46285</v>
      </c>
      <c r="C954" s="1" t="s">
        <v>2913</v>
      </c>
      <c r="D954" s="3" t="str">
        <f t="shared" si="2"/>
        <v>SOBI</v>
      </c>
      <c r="E954" s="3" t="str">
        <f t="shared" si="3"/>
        <v>KARNATAKA</v>
      </c>
      <c r="F954" s="3" t="str">
        <f t="shared" si="4"/>
        <v>BANGALURU</v>
      </c>
      <c r="G954" s="1" t="s">
        <v>2914</v>
      </c>
      <c r="H954" s="3" t="str">
        <f t="shared" si="5"/>
        <v>ACCESSORIES</v>
      </c>
      <c r="I954" s="3" t="str">
        <f t="shared" si="6"/>
        <v>EARRINGS</v>
      </c>
      <c r="J954" s="3">
        <f t="shared" si="7"/>
        <v>4</v>
      </c>
      <c r="K954" s="3">
        <f t="shared" si="8"/>
        <v>128</v>
      </c>
      <c r="L954" s="4">
        <f t="shared" si="9"/>
        <v>0.5</v>
      </c>
      <c r="M954" s="3">
        <f t="shared" si="10"/>
        <v>256</v>
      </c>
      <c r="N954" s="3">
        <f t="shared" si="11"/>
        <v>179</v>
      </c>
      <c r="O954" s="3">
        <f t="shared" si="12"/>
        <v>77</v>
      </c>
      <c r="P954" s="3" t="str">
        <f t="shared" si="13"/>
        <v>COD</v>
      </c>
      <c r="Q954" s="3" t="str">
        <f t="shared" si="14"/>
        <v>DELIVERED</v>
      </c>
    </row>
    <row r="955">
      <c r="A955" s="1" t="s">
        <v>2915</v>
      </c>
      <c r="B955" s="2">
        <f t="shared" si="1"/>
        <v>46289</v>
      </c>
      <c r="C955" s="1" t="s">
        <v>2916</v>
      </c>
      <c r="D955" s="3" t="str">
        <f t="shared" si="2"/>
        <v>SUJI</v>
      </c>
      <c r="E955" s="3" t="str">
        <f t="shared" si="3"/>
        <v>ANDHRA PRADESH</v>
      </c>
      <c r="F955" s="3" t="str">
        <f t="shared" si="4"/>
        <v>TIRUPATI</v>
      </c>
      <c r="G955" s="1" t="s">
        <v>2917</v>
      </c>
      <c r="H955" s="3" t="str">
        <f t="shared" si="5"/>
        <v>ELECTRONICS</v>
      </c>
      <c r="I955" s="3" t="str">
        <f t="shared" si="6"/>
        <v>WIRELESS EARBUDS</v>
      </c>
      <c r="J955" s="3">
        <f t="shared" si="7"/>
        <v>2</v>
      </c>
      <c r="K955" s="3">
        <f t="shared" si="8"/>
        <v>540</v>
      </c>
      <c r="L955" s="4">
        <f t="shared" si="9"/>
        <v>0.1</v>
      </c>
      <c r="M955" s="3">
        <f t="shared" si="10"/>
        <v>972</v>
      </c>
      <c r="N955" s="3">
        <f t="shared" si="11"/>
        <v>680</v>
      </c>
      <c r="O955" s="3">
        <f t="shared" si="12"/>
        <v>292</v>
      </c>
      <c r="P955" s="3" t="str">
        <f t="shared" si="13"/>
        <v>NET BANKING</v>
      </c>
      <c r="Q955" s="3" t="str">
        <f t="shared" si="14"/>
        <v>SHIPPED</v>
      </c>
    </row>
    <row r="956">
      <c r="A956" s="1" t="s">
        <v>2918</v>
      </c>
      <c r="B956" s="2">
        <f t="shared" si="1"/>
        <v>46363</v>
      </c>
      <c r="C956" s="1" t="s">
        <v>2919</v>
      </c>
      <c r="D956" s="3" t="str">
        <f t="shared" si="2"/>
        <v>RATHA</v>
      </c>
      <c r="E956" s="3" t="str">
        <f t="shared" si="3"/>
        <v>TELUGANA</v>
      </c>
      <c r="F956" s="3" t="str">
        <f t="shared" si="4"/>
        <v>HYDERABAD</v>
      </c>
      <c r="G956" s="1" t="s">
        <v>2920</v>
      </c>
      <c r="H956" s="3" t="str">
        <f t="shared" si="5"/>
        <v>SPORTS</v>
      </c>
      <c r="I956" s="3" t="str">
        <f t="shared" si="6"/>
        <v>FOOTBALL</v>
      </c>
      <c r="J956" s="3">
        <f t="shared" si="7"/>
        <v>2</v>
      </c>
      <c r="K956" s="3">
        <f t="shared" si="8"/>
        <v>373</v>
      </c>
      <c r="L956" s="4">
        <f t="shared" si="9"/>
        <v>0</v>
      </c>
      <c r="M956" s="3">
        <f t="shared" si="10"/>
        <v>746</v>
      </c>
      <c r="N956" s="3">
        <f t="shared" si="11"/>
        <v>522</v>
      </c>
      <c r="O956" s="3">
        <f t="shared" si="12"/>
        <v>224</v>
      </c>
      <c r="P956" s="3" t="str">
        <f t="shared" si="13"/>
        <v>WALLET</v>
      </c>
      <c r="Q956" s="3" t="str">
        <f t="shared" si="14"/>
        <v>CANCELLED</v>
      </c>
    </row>
    <row r="957">
      <c r="A957" s="1" t="s">
        <v>2921</v>
      </c>
      <c r="B957" s="2">
        <f t="shared" si="1"/>
        <v>46278</v>
      </c>
      <c r="C957" s="1" t="s">
        <v>2922</v>
      </c>
      <c r="D957" s="3" t="str">
        <f t="shared" si="2"/>
        <v>SUSA</v>
      </c>
      <c r="E957" s="3" t="str">
        <f t="shared" si="3"/>
        <v>UTTHRA PRADESH</v>
      </c>
      <c r="F957" s="3" t="str">
        <f t="shared" si="4"/>
        <v>LUCKNOW</v>
      </c>
      <c r="G957" s="1" t="s">
        <v>2923</v>
      </c>
      <c r="H957" s="3" t="str">
        <f t="shared" si="5"/>
        <v>FOOD</v>
      </c>
      <c r="I957" s="3" t="str">
        <f t="shared" si="6"/>
        <v>BIRIYANI</v>
      </c>
      <c r="J957" s="3">
        <f t="shared" si="7"/>
        <v>5</v>
      </c>
      <c r="K957" s="3">
        <f t="shared" si="8"/>
        <v>556</v>
      </c>
      <c r="L957" s="4">
        <f t="shared" si="9"/>
        <v>0.2</v>
      </c>
      <c r="M957" s="3">
        <f t="shared" si="10"/>
        <v>2224</v>
      </c>
      <c r="N957" s="3">
        <f t="shared" si="11"/>
        <v>1557</v>
      </c>
      <c r="O957" s="3">
        <f t="shared" si="12"/>
        <v>667</v>
      </c>
      <c r="P957" s="3" t="str">
        <f t="shared" si="13"/>
        <v>UPI</v>
      </c>
      <c r="Q957" s="3" t="str">
        <f t="shared" si="14"/>
        <v>RETURNED</v>
      </c>
    </row>
    <row r="958">
      <c r="A958" s="1" t="s">
        <v>2924</v>
      </c>
      <c r="B958" s="2">
        <f t="shared" si="1"/>
        <v>46159</v>
      </c>
      <c r="C958" s="1" t="s">
        <v>2925</v>
      </c>
      <c r="D958" s="3" t="str">
        <f t="shared" si="2"/>
        <v>NIVE</v>
      </c>
      <c r="E958" s="3" t="str">
        <f t="shared" si="3"/>
        <v>GUJARAT</v>
      </c>
      <c r="F958" s="3" t="str">
        <f t="shared" si="4"/>
        <v>SURAT</v>
      </c>
      <c r="G958" s="1" t="s">
        <v>2926</v>
      </c>
      <c r="H958" s="3" t="str">
        <f t="shared" si="5"/>
        <v>DRESS</v>
      </c>
      <c r="I958" s="3" t="str">
        <f t="shared" si="6"/>
        <v>WOMEN WAERS</v>
      </c>
      <c r="J958" s="3">
        <f t="shared" si="7"/>
        <v>3</v>
      </c>
      <c r="K958" s="3">
        <f t="shared" si="8"/>
        <v>389</v>
      </c>
      <c r="L958" s="4">
        <f t="shared" si="9"/>
        <v>0.15</v>
      </c>
      <c r="M958" s="3">
        <f t="shared" si="10"/>
        <v>991.95</v>
      </c>
      <c r="N958" s="3">
        <f t="shared" si="11"/>
        <v>694</v>
      </c>
      <c r="O958" s="3">
        <f t="shared" si="12"/>
        <v>298</v>
      </c>
      <c r="P958" s="3" t="str">
        <f t="shared" si="13"/>
        <v>CARD</v>
      </c>
      <c r="Q958" s="3" t="str">
        <f t="shared" si="14"/>
        <v>DELIVERED</v>
      </c>
    </row>
    <row r="959">
      <c r="A959" s="1" t="s">
        <v>2927</v>
      </c>
      <c r="B959" s="2">
        <f t="shared" si="1"/>
        <v>46138</v>
      </c>
      <c r="C959" s="1" t="s">
        <v>2928</v>
      </c>
      <c r="D959" s="3" t="str">
        <f t="shared" si="2"/>
        <v>VINO</v>
      </c>
      <c r="E959" s="3" t="str">
        <f t="shared" si="3"/>
        <v>RAJASTHAN</v>
      </c>
      <c r="F959" s="3" t="str">
        <f t="shared" si="4"/>
        <v>JAIPUR</v>
      </c>
      <c r="G959" s="1" t="s">
        <v>2929</v>
      </c>
      <c r="H959" s="3" t="str">
        <f t="shared" si="5"/>
        <v>BEAUTY</v>
      </c>
      <c r="I959" s="3" t="str">
        <f t="shared" si="6"/>
        <v>KAJAL</v>
      </c>
      <c r="J959" s="3">
        <f t="shared" si="7"/>
        <v>5</v>
      </c>
      <c r="K959" s="3">
        <f t="shared" si="8"/>
        <v>544</v>
      </c>
      <c r="L959" s="4">
        <f t="shared" si="9"/>
        <v>0.5</v>
      </c>
      <c r="M959" s="3">
        <f t="shared" si="10"/>
        <v>1360</v>
      </c>
      <c r="N959" s="3">
        <f t="shared" si="11"/>
        <v>952</v>
      </c>
      <c r="O959" s="3">
        <f t="shared" si="12"/>
        <v>408</v>
      </c>
      <c r="P959" s="3" t="str">
        <f t="shared" si="13"/>
        <v>COD</v>
      </c>
      <c r="Q959" s="3" t="str">
        <f t="shared" si="14"/>
        <v>SHIPPED</v>
      </c>
    </row>
    <row r="960">
      <c r="A960" s="1" t="s">
        <v>2930</v>
      </c>
      <c r="B960" s="2">
        <f t="shared" si="1"/>
        <v>46303</v>
      </c>
      <c r="C960" s="1" t="s">
        <v>2931</v>
      </c>
      <c r="D960" s="3" t="str">
        <f t="shared" si="2"/>
        <v>ABI</v>
      </c>
      <c r="E960" s="3" t="str">
        <f t="shared" si="3"/>
        <v>WEST BENGAL</v>
      </c>
      <c r="F960" s="3" t="str">
        <f t="shared" si="4"/>
        <v>KOLKATA</v>
      </c>
      <c r="G960" s="1" t="s">
        <v>2932</v>
      </c>
      <c r="H960" s="3" t="str">
        <f t="shared" si="5"/>
        <v>HOME &amp; KITCHEN</v>
      </c>
      <c r="I960" s="3" t="str">
        <f t="shared" si="6"/>
        <v>MIXER GRAINDER</v>
      </c>
      <c r="J960" s="3">
        <f t="shared" si="7"/>
        <v>4</v>
      </c>
      <c r="K960" s="3">
        <f t="shared" si="8"/>
        <v>361</v>
      </c>
      <c r="L960" s="4">
        <f t="shared" si="9"/>
        <v>0.1</v>
      </c>
      <c r="M960" s="3">
        <f t="shared" si="10"/>
        <v>1299.6</v>
      </c>
      <c r="N960" s="3">
        <f t="shared" si="11"/>
        <v>910</v>
      </c>
      <c r="O960" s="3">
        <f t="shared" si="12"/>
        <v>390</v>
      </c>
      <c r="P960" s="3" t="str">
        <f t="shared" si="13"/>
        <v>NET BANKING</v>
      </c>
      <c r="Q960" s="3" t="str">
        <f t="shared" si="14"/>
        <v>CANCELLED</v>
      </c>
    </row>
    <row r="961">
      <c r="A961" s="1" t="s">
        <v>2933</v>
      </c>
      <c r="B961" s="2">
        <f t="shared" si="1"/>
        <v>46384</v>
      </c>
      <c r="C961" s="1" t="s">
        <v>2934</v>
      </c>
      <c r="D961" s="3" t="str">
        <f t="shared" si="2"/>
        <v>NIHAAR</v>
      </c>
      <c r="E961" s="3" t="str">
        <f t="shared" si="3"/>
        <v>MAGARASTRA</v>
      </c>
      <c r="F961" s="3" t="str">
        <f t="shared" si="4"/>
        <v>PUNE</v>
      </c>
      <c r="G961" s="1" t="s">
        <v>2935</v>
      </c>
      <c r="H961" s="3" t="str">
        <f t="shared" si="5"/>
        <v>BOOKS</v>
      </c>
      <c r="I961" s="3" t="str">
        <f t="shared" si="6"/>
        <v>LIFE OF PI</v>
      </c>
      <c r="J961" s="3">
        <f t="shared" si="7"/>
        <v>2</v>
      </c>
      <c r="K961" s="3">
        <f t="shared" si="8"/>
        <v>406</v>
      </c>
      <c r="L961" s="4">
        <f t="shared" si="9"/>
        <v>0.15</v>
      </c>
      <c r="M961" s="3">
        <f t="shared" si="10"/>
        <v>690.2</v>
      </c>
      <c r="N961" s="3">
        <f t="shared" si="11"/>
        <v>483</v>
      </c>
      <c r="O961" s="3">
        <f t="shared" si="12"/>
        <v>207</v>
      </c>
      <c r="P961" s="3" t="str">
        <f t="shared" si="13"/>
        <v>WALLET</v>
      </c>
      <c r="Q961" s="3" t="str">
        <f t="shared" si="14"/>
        <v>RETURNED</v>
      </c>
    </row>
    <row r="962">
      <c r="A962" s="1" t="s">
        <v>2936</v>
      </c>
      <c r="B962" s="2">
        <f t="shared" si="1"/>
        <v>46142</v>
      </c>
      <c r="C962" s="1" t="s">
        <v>2937</v>
      </c>
      <c r="D962" s="3" t="str">
        <f t="shared" si="2"/>
        <v>SRI</v>
      </c>
      <c r="E962" s="3" t="str">
        <f t="shared" si="3"/>
        <v>TAMILNADU</v>
      </c>
      <c r="F962" s="3" t="str">
        <f t="shared" si="4"/>
        <v>THOOTHUKUDI</v>
      </c>
      <c r="G962" s="1" t="s">
        <v>2938</v>
      </c>
      <c r="H962" s="3" t="str">
        <f t="shared" si="5"/>
        <v>ACCESSORIES</v>
      </c>
      <c r="I962" s="3" t="str">
        <f t="shared" si="6"/>
        <v>EARRINGS</v>
      </c>
      <c r="J962" s="3">
        <f t="shared" si="7"/>
        <v>2</v>
      </c>
      <c r="K962" s="3">
        <f t="shared" si="8"/>
        <v>408</v>
      </c>
      <c r="L962" s="4">
        <f t="shared" si="9"/>
        <v>0</v>
      </c>
      <c r="M962" s="3">
        <f t="shared" si="10"/>
        <v>816</v>
      </c>
      <c r="N962" s="3">
        <f t="shared" si="11"/>
        <v>571</v>
      </c>
      <c r="O962" s="3">
        <f t="shared" si="12"/>
        <v>245</v>
      </c>
      <c r="P962" s="3" t="str">
        <f t="shared" si="13"/>
        <v>UPI</v>
      </c>
      <c r="Q962" s="3" t="str">
        <f t="shared" si="14"/>
        <v>DELIVERED</v>
      </c>
    </row>
    <row r="963">
      <c r="A963" s="1" t="s">
        <v>2939</v>
      </c>
      <c r="B963" s="2">
        <f t="shared" si="1"/>
        <v>46185</v>
      </c>
      <c r="C963" s="1" t="s">
        <v>2940</v>
      </c>
      <c r="D963" s="3" t="str">
        <f t="shared" si="2"/>
        <v>SHOBN</v>
      </c>
      <c r="E963" s="3" t="str">
        <f t="shared" si="3"/>
        <v>KERALA</v>
      </c>
      <c r="F963" s="3" t="str">
        <f t="shared" si="4"/>
        <v>KOCHI</v>
      </c>
      <c r="G963" s="1" t="s">
        <v>2941</v>
      </c>
      <c r="H963" s="3" t="str">
        <f t="shared" si="5"/>
        <v>ELECTRONICS</v>
      </c>
      <c r="I963" s="3" t="str">
        <f t="shared" si="6"/>
        <v>WIRELESS EARBUDS</v>
      </c>
      <c r="J963" s="3">
        <f t="shared" si="7"/>
        <v>5</v>
      </c>
      <c r="K963" s="3">
        <f t="shared" si="8"/>
        <v>142</v>
      </c>
      <c r="L963" s="4">
        <f t="shared" si="9"/>
        <v>0.17</v>
      </c>
      <c r="M963" s="3">
        <f t="shared" si="10"/>
        <v>589.3</v>
      </c>
      <c r="N963" s="3">
        <f t="shared" si="11"/>
        <v>413</v>
      </c>
      <c r="O963" s="3">
        <f t="shared" si="12"/>
        <v>176</v>
      </c>
      <c r="P963" s="3" t="str">
        <f t="shared" si="13"/>
        <v>CARD</v>
      </c>
      <c r="Q963" s="3" t="str">
        <f t="shared" si="14"/>
        <v>SHIPPED</v>
      </c>
    </row>
    <row r="964">
      <c r="A964" s="1" t="s">
        <v>2942</v>
      </c>
      <c r="B964" s="2">
        <f t="shared" si="1"/>
        <v>46310</v>
      </c>
      <c r="C964" s="1" t="s">
        <v>2943</v>
      </c>
      <c r="D964" s="3" t="str">
        <f t="shared" si="2"/>
        <v>SOBI</v>
      </c>
      <c r="E964" s="3" t="str">
        <f t="shared" si="3"/>
        <v>KARNATAKA</v>
      </c>
      <c r="F964" s="3" t="str">
        <f t="shared" si="4"/>
        <v>BANGALURU</v>
      </c>
      <c r="G964" s="1" t="s">
        <v>2944</v>
      </c>
      <c r="H964" s="3" t="str">
        <f t="shared" si="5"/>
        <v>SPORTS</v>
      </c>
      <c r="I964" s="3" t="str">
        <f t="shared" si="6"/>
        <v>FOOTBALL</v>
      </c>
      <c r="J964" s="3">
        <f t="shared" si="7"/>
        <v>2</v>
      </c>
      <c r="K964" s="3">
        <f t="shared" si="8"/>
        <v>324</v>
      </c>
      <c r="L964" s="4">
        <f t="shared" si="9"/>
        <v>0.5</v>
      </c>
      <c r="M964" s="3">
        <f t="shared" si="10"/>
        <v>324</v>
      </c>
      <c r="N964" s="3">
        <f t="shared" si="11"/>
        <v>227</v>
      </c>
      <c r="O964" s="3">
        <f t="shared" si="12"/>
        <v>97</v>
      </c>
      <c r="P964" s="3" t="str">
        <f t="shared" si="13"/>
        <v>COD</v>
      </c>
      <c r="Q964" s="3" t="str">
        <f t="shared" si="14"/>
        <v>CANCELLED</v>
      </c>
    </row>
    <row r="965">
      <c r="A965" s="1" t="s">
        <v>2945</v>
      </c>
      <c r="B965" s="2">
        <f t="shared" si="1"/>
        <v>46179</v>
      </c>
      <c r="C965" s="1" t="s">
        <v>2946</v>
      </c>
      <c r="D965" s="3" t="str">
        <f t="shared" si="2"/>
        <v>SUJI</v>
      </c>
      <c r="E965" s="3" t="str">
        <f t="shared" si="3"/>
        <v>ANDHRA PRADESH</v>
      </c>
      <c r="F965" s="3" t="str">
        <f t="shared" si="4"/>
        <v>TIRUPATI</v>
      </c>
      <c r="G965" s="1" t="s">
        <v>2947</v>
      </c>
      <c r="H965" s="3" t="str">
        <f t="shared" si="5"/>
        <v>FOOD</v>
      </c>
      <c r="I965" s="3" t="str">
        <f t="shared" si="6"/>
        <v>BIRIYANI</v>
      </c>
      <c r="J965" s="3">
        <f t="shared" si="7"/>
        <v>2</v>
      </c>
      <c r="K965" s="3">
        <f t="shared" si="8"/>
        <v>438</v>
      </c>
      <c r="L965" s="4">
        <f t="shared" si="9"/>
        <v>0.15</v>
      </c>
      <c r="M965" s="3">
        <f t="shared" si="10"/>
        <v>744.6</v>
      </c>
      <c r="N965" s="3">
        <f t="shared" si="11"/>
        <v>521</v>
      </c>
      <c r="O965" s="3">
        <f t="shared" si="12"/>
        <v>224</v>
      </c>
      <c r="P965" s="3" t="str">
        <f t="shared" si="13"/>
        <v>NET BANKING</v>
      </c>
      <c r="Q965" s="3" t="str">
        <f t="shared" si="14"/>
        <v>RETURNED</v>
      </c>
    </row>
    <row r="966">
      <c r="A966" s="1" t="s">
        <v>2948</v>
      </c>
      <c r="B966" s="2">
        <f t="shared" si="1"/>
        <v>46140</v>
      </c>
      <c r="C966" s="1" t="s">
        <v>2949</v>
      </c>
      <c r="D966" s="3" t="str">
        <f t="shared" si="2"/>
        <v>RATHA</v>
      </c>
      <c r="E966" s="3" t="str">
        <f t="shared" si="3"/>
        <v>TELUGANA</v>
      </c>
      <c r="F966" s="3" t="str">
        <f t="shared" si="4"/>
        <v>HYDERABAD</v>
      </c>
      <c r="G966" s="1" t="s">
        <v>2950</v>
      </c>
      <c r="H966" s="3" t="str">
        <f t="shared" si="5"/>
        <v>DRESS</v>
      </c>
      <c r="I966" s="3" t="str">
        <f t="shared" si="6"/>
        <v>WOMEN WAERS</v>
      </c>
      <c r="J966" s="3">
        <f t="shared" si="7"/>
        <v>1</v>
      </c>
      <c r="K966" s="3">
        <f t="shared" si="8"/>
        <v>223</v>
      </c>
      <c r="L966" s="4">
        <f t="shared" si="9"/>
        <v>0.1</v>
      </c>
      <c r="M966" s="3">
        <f t="shared" si="10"/>
        <v>200.7</v>
      </c>
      <c r="N966" s="3">
        <f t="shared" si="11"/>
        <v>140</v>
      </c>
      <c r="O966" s="3">
        <f t="shared" si="12"/>
        <v>61</v>
      </c>
      <c r="P966" s="3" t="str">
        <f t="shared" si="13"/>
        <v>WALLET</v>
      </c>
      <c r="Q966" s="3" t="str">
        <f t="shared" si="14"/>
        <v>DELIVERED</v>
      </c>
    </row>
    <row r="967">
      <c r="A967" s="1" t="s">
        <v>2951</v>
      </c>
      <c r="B967" s="2">
        <f t="shared" si="1"/>
        <v>46202</v>
      </c>
      <c r="C967" s="1" t="s">
        <v>2952</v>
      </c>
      <c r="D967" s="3" t="str">
        <f t="shared" si="2"/>
        <v>SUSA</v>
      </c>
      <c r="E967" s="3" t="str">
        <f t="shared" si="3"/>
        <v>UTTHRA PRADESH</v>
      </c>
      <c r="F967" s="3" t="str">
        <f t="shared" si="4"/>
        <v>LUCKNOW</v>
      </c>
      <c r="G967" s="1" t="s">
        <v>2953</v>
      </c>
      <c r="H967" s="3" t="str">
        <f t="shared" si="5"/>
        <v>BEAUTY</v>
      </c>
      <c r="I967" s="3" t="str">
        <f t="shared" si="6"/>
        <v>KAJAL</v>
      </c>
      <c r="J967" s="3">
        <f t="shared" si="7"/>
        <v>5</v>
      </c>
      <c r="K967" s="3">
        <f t="shared" si="8"/>
        <v>399</v>
      </c>
      <c r="L967" s="4">
        <f t="shared" si="9"/>
        <v>0.15</v>
      </c>
      <c r="M967" s="3">
        <f t="shared" si="10"/>
        <v>1695.75</v>
      </c>
      <c r="N967" s="3">
        <f t="shared" si="11"/>
        <v>1187</v>
      </c>
      <c r="O967" s="3">
        <f t="shared" si="12"/>
        <v>509</v>
      </c>
      <c r="P967" s="3" t="str">
        <f t="shared" si="13"/>
        <v>UPI</v>
      </c>
      <c r="Q967" s="3" t="str">
        <f t="shared" si="14"/>
        <v>SHIPPED</v>
      </c>
    </row>
    <row r="968">
      <c r="A968" s="1" t="s">
        <v>2954</v>
      </c>
      <c r="B968" s="2">
        <f t="shared" si="1"/>
        <v>46055</v>
      </c>
      <c r="C968" s="1" t="s">
        <v>2955</v>
      </c>
      <c r="D968" s="3" t="str">
        <f t="shared" si="2"/>
        <v>NIVE</v>
      </c>
      <c r="E968" s="3" t="str">
        <f t="shared" si="3"/>
        <v>GUJARAT</v>
      </c>
      <c r="F968" s="3" t="str">
        <f t="shared" si="4"/>
        <v>SURAT</v>
      </c>
      <c r="G968" s="1" t="s">
        <v>2956</v>
      </c>
      <c r="H968" s="3" t="str">
        <f t="shared" si="5"/>
        <v>HOME &amp; KITCHEN</v>
      </c>
      <c r="I968" s="3" t="str">
        <f t="shared" si="6"/>
        <v>MIXER GRAINDER</v>
      </c>
      <c r="J968" s="3">
        <f t="shared" si="7"/>
        <v>4</v>
      </c>
      <c r="K968" s="3">
        <f t="shared" si="8"/>
        <v>438</v>
      </c>
      <c r="L968" s="4">
        <f t="shared" si="9"/>
        <v>0.15</v>
      </c>
      <c r="M968" s="3">
        <f t="shared" si="10"/>
        <v>1489.2</v>
      </c>
      <c r="N968" s="3">
        <f t="shared" si="11"/>
        <v>1042</v>
      </c>
      <c r="O968" s="3">
        <f t="shared" si="12"/>
        <v>447</v>
      </c>
      <c r="P968" s="3" t="str">
        <f t="shared" si="13"/>
        <v>CARD</v>
      </c>
      <c r="Q968" s="3" t="str">
        <f t="shared" si="14"/>
        <v>CANCELLED</v>
      </c>
    </row>
    <row r="969">
      <c r="A969" s="1" t="s">
        <v>2957</v>
      </c>
      <c r="B969" s="2">
        <f t="shared" si="1"/>
        <v>46072</v>
      </c>
      <c r="C969" s="1" t="s">
        <v>2958</v>
      </c>
      <c r="D969" s="3" t="str">
        <f t="shared" si="2"/>
        <v>VINO</v>
      </c>
      <c r="E969" s="3" t="str">
        <f t="shared" si="3"/>
        <v>RAJASTHAN</v>
      </c>
      <c r="F969" s="3" t="str">
        <f t="shared" si="4"/>
        <v>JAIPUR</v>
      </c>
      <c r="G969" s="1" t="s">
        <v>2959</v>
      </c>
      <c r="H969" s="3" t="str">
        <f t="shared" si="5"/>
        <v>BOOKS</v>
      </c>
      <c r="I969" s="3" t="str">
        <f t="shared" si="6"/>
        <v>LIFE OF PI</v>
      </c>
      <c r="J969" s="3">
        <f t="shared" si="7"/>
        <v>5</v>
      </c>
      <c r="K969" s="3">
        <f t="shared" si="8"/>
        <v>231</v>
      </c>
      <c r="L969" s="4">
        <f t="shared" si="9"/>
        <v>0.2</v>
      </c>
      <c r="M969" s="3">
        <f t="shared" si="10"/>
        <v>924</v>
      </c>
      <c r="N969" s="3">
        <f t="shared" si="11"/>
        <v>647</v>
      </c>
      <c r="O969" s="3">
        <f t="shared" si="12"/>
        <v>277</v>
      </c>
      <c r="P969" s="3" t="str">
        <f t="shared" si="13"/>
        <v>COD</v>
      </c>
      <c r="Q969" s="3" t="str">
        <f t="shared" si="14"/>
        <v>RETURNED</v>
      </c>
    </row>
    <row r="970">
      <c r="A970" s="1" t="s">
        <v>2960</v>
      </c>
      <c r="B970" s="2">
        <f t="shared" si="1"/>
        <v>46111</v>
      </c>
      <c r="C970" s="1" t="s">
        <v>2961</v>
      </c>
      <c r="D970" s="3" t="str">
        <f t="shared" si="2"/>
        <v>ABI</v>
      </c>
      <c r="E970" s="3" t="str">
        <f t="shared" si="3"/>
        <v>WEST BENGAL</v>
      </c>
      <c r="F970" s="3" t="str">
        <f t="shared" si="4"/>
        <v>KOLKATA</v>
      </c>
      <c r="G970" s="1" t="s">
        <v>2962</v>
      </c>
      <c r="H970" s="3" t="str">
        <f t="shared" si="5"/>
        <v>ACCESSORIES</v>
      </c>
      <c r="I970" s="3" t="str">
        <f t="shared" si="6"/>
        <v>EARRINGS</v>
      </c>
      <c r="J970" s="3">
        <f t="shared" si="7"/>
        <v>5</v>
      </c>
      <c r="K970" s="3">
        <f t="shared" si="8"/>
        <v>503</v>
      </c>
      <c r="L970" s="4">
        <f t="shared" si="9"/>
        <v>0</v>
      </c>
      <c r="M970" s="3">
        <f t="shared" si="10"/>
        <v>2515</v>
      </c>
      <c r="N970" s="3">
        <f t="shared" si="11"/>
        <v>1761</v>
      </c>
      <c r="O970" s="3">
        <f t="shared" si="12"/>
        <v>754</v>
      </c>
      <c r="P970" s="3" t="str">
        <f t="shared" si="13"/>
        <v>NET BANKING</v>
      </c>
      <c r="Q970" s="3" t="str">
        <f t="shared" si="14"/>
        <v>DELIVERED</v>
      </c>
    </row>
    <row r="971">
      <c r="A971" s="1" t="s">
        <v>2963</v>
      </c>
      <c r="B971" s="2">
        <f t="shared" si="1"/>
        <v>46359</v>
      </c>
      <c r="C971" s="1" t="s">
        <v>2964</v>
      </c>
      <c r="D971" s="3" t="str">
        <f t="shared" si="2"/>
        <v>NIHAAR</v>
      </c>
      <c r="E971" s="3" t="str">
        <f t="shared" si="3"/>
        <v>MAGARASTRA</v>
      </c>
      <c r="F971" s="3" t="str">
        <f t="shared" si="4"/>
        <v>PUNE</v>
      </c>
      <c r="G971" s="1" t="s">
        <v>2965</v>
      </c>
      <c r="H971" s="3" t="str">
        <f t="shared" si="5"/>
        <v>ELECTRONICS</v>
      </c>
      <c r="I971" s="3" t="str">
        <f t="shared" si="6"/>
        <v>WIRELESS EARBUDS</v>
      </c>
      <c r="J971" s="3">
        <f t="shared" si="7"/>
        <v>2</v>
      </c>
      <c r="K971" s="3">
        <f t="shared" si="8"/>
        <v>419</v>
      </c>
      <c r="L971" s="4">
        <f t="shared" si="9"/>
        <v>0.5</v>
      </c>
      <c r="M971" s="3">
        <f t="shared" si="10"/>
        <v>419</v>
      </c>
      <c r="N971" s="3">
        <f t="shared" si="11"/>
        <v>293</v>
      </c>
      <c r="O971" s="3">
        <f t="shared" si="12"/>
        <v>126</v>
      </c>
      <c r="P971" s="3" t="str">
        <f t="shared" si="13"/>
        <v>WALLET</v>
      </c>
      <c r="Q971" s="3" t="str">
        <f t="shared" si="14"/>
        <v>SHIPPED</v>
      </c>
    </row>
    <row r="972">
      <c r="A972" s="1" t="s">
        <v>2966</v>
      </c>
      <c r="B972" s="2">
        <f t="shared" si="1"/>
        <v>46155</v>
      </c>
      <c r="C972" s="1" t="s">
        <v>2967</v>
      </c>
      <c r="D972" s="3" t="str">
        <f t="shared" si="2"/>
        <v>SRI</v>
      </c>
      <c r="E972" s="3" t="str">
        <f t="shared" si="3"/>
        <v>TAMILNADU</v>
      </c>
      <c r="F972" s="3" t="str">
        <f t="shared" si="4"/>
        <v>THOOTHUKUDI</v>
      </c>
      <c r="G972" s="1" t="s">
        <v>2968</v>
      </c>
      <c r="H972" s="3" t="str">
        <f t="shared" si="5"/>
        <v>SPORTS</v>
      </c>
      <c r="I972" s="3" t="str">
        <f t="shared" si="6"/>
        <v>FOOTBALL</v>
      </c>
      <c r="J972" s="3">
        <f t="shared" si="7"/>
        <v>1</v>
      </c>
      <c r="K972" s="3">
        <f t="shared" si="8"/>
        <v>253</v>
      </c>
      <c r="L972" s="4">
        <f t="shared" si="9"/>
        <v>0.2</v>
      </c>
      <c r="M972" s="3">
        <f t="shared" si="10"/>
        <v>202.4</v>
      </c>
      <c r="N972" s="3">
        <f t="shared" si="11"/>
        <v>142</v>
      </c>
      <c r="O972" s="3">
        <f t="shared" si="12"/>
        <v>60</v>
      </c>
      <c r="P972" s="3" t="str">
        <f t="shared" si="13"/>
        <v>UPI</v>
      </c>
      <c r="Q972" s="3" t="str">
        <f t="shared" si="14"/>
        <v>CANCELLED</v>
      </c>
    </row>
    <row r="973">
      <c r="A973" s="1" t="s">
        <v>2969</v>
      </c>
      <c r="B973" s="2">
        <f t="shared" si="1"/>
        <v>46147</v>
      </c>
      <c r="C973" s="1" t="s">
        <v>2970</v>
      </c>
      <c r="D973" s="3" t="str">
        <f t="shared" si="2"/>
        <v>SHOBN</v>
      </c>
      <c r="E973" s="3" t="str">
        <f t="shared" si="3"/>
        <v>KERALA</v>
      </c>
      <c r="F973" s="3" t="str">
        <f t="shared" si="4"/>
        <v>KOCHI</v>
      </c>
      <c r="G973" s="1" t="s">
        <v>2971</v>
      </c>
      <c r="H973" s="3" t="str">
        <f t="shared" si="5"/>
        <v>FOOD</v>
      </c>
      <c r="I973" s="3" t="str">
        <f t="shared" si="6"/>
        <v>BIRIYANI</v>
      </c>
      <c r="J973" s="3">
        <f t="shared" si="7"/>
        <v>1</v>
      </c>
      <c r="K973" s="3">
        <f t="shared" si="8"/>
        <v>162</v>
      </c>
      <c r="L973" s="4">
        <f t="shared" si="9"/>
        <v>0.17</v>
      </c>
      <c r="M973" s="3">
        <f t="shared" si="10"/>
        <v>134.46</v>
      </c>
      <c r="N973" s="3">
        <f t="shared" si="11"/>
        <v>94</v>
      </c>
      <c r="O973" s="3">
        <f t="shared" si="12"/>
        <v>40</v>
      </c>
      <c r="P973" s="3" t="str">
        <f t="shared" si="13"/>
        <v>CARD</v>
      </c>
      <c r="Q973" s="3" t="str">
        <f t="shared" si="14"/>
        <v>RETURNED</v>
      </c>
    </row>
    <row r="974">
      <c r="A974" s="1" t="s">
        <v>2972</v>
      </c>
      <c r="B974" s="2">
        <f t="shared" si="1"/>
        <v>46219</v>
      </c>
      <c r="C974" s="1" t="s">
        <v>2973</v>
      </c>
      <c r="D974" s="3" t="str">
        <f t="shared" si="2"/>
        <v>SOBI</v>
      </c>
      <c r="E974" s="3" t="str">
        <f t="shared" si="3"/>
        <v>KARNATAKA</v>
      </c>
      <c r="F974" s="3" t="str">
        <f t="shared" si="4"/>
        <v>BANGALURU</v>
      </c>
      <c r="G974" s="1" t="s">
        <v>2974</v>
      </c>
      <c r="H974" s="3" t="str">
        <f t="shared" si="5"/>
        <v>DRESS</v>
      </c>
      <c r="I974" s="3" t="str">
        <f t="shared" si="6"/>
        <v>WOMEN WAERS</v>
      </c>
      <c r="J974" s="3">
        <f t="shared" si="7"/>
        <v>2</v>
      </c>
      <c r="K974" s="3">
        <f t="shared" si="8"/>
        <v>414</v>
      </c>
      <c r="L974" s="4">
        <f t="shared" si="9"/>
        <v>0.1</v>
      </c>
      <c r="M974" s="3">
        <f t="shared" si="10"/>
        <v>745.2</v>
      </c>
      <c r="N974" s="3">
        <f t="shared" si="11"/>
        <v>522</v>
      </c>
      <c r="O974" s="3">
        <f t="shared" si="12"/>
        <v>223</v>
      </c>
      <c r="P974" s="3" t="str">
        <f t="shared" si="13"/>
        <v>COD</v>
      </c>
      <c r="Q974" s="3" t="str">
        <f t="shared" si="14"/>
        <v>DELIVERED</v>
      </c>
    </row>
    <row r="975">
      <c r="A975" s="1" t="s">
        <v>2975</v>
      </c>
      <c r="B975" s="2">
        <f t="shared" si="1"/>
        <v>46145</v>
      </c>
      <c r="C975" s="1" t="s">
        <v>2976</v>
      </c>
      <c r="D975" s="3" t="str">
        <f t="shared" si="2"/>
        <v>SUJI</v>
      </c>
      <c r="E975" s="3" t="str">
        <f t="shared" si="3"/>
        <v>ANDHRA PRADESH</v>
      </c>
      <c r="F975" s="3" t="str">
        <f t="shared" si="4"/>
        <v>TIRUPATI</v>
      </c>
      <c r="G975" s="1" t="s">
        <v>2977</v>
      </c>
      <c r="H975" s="3" t="str">
        <f t="shared" si="5"/>
        <v>BEAUTY</v>
      </c>
      <c r="I975" s="3" t="str">
        <f t="shared" si="6"/>
        <v>KAJAL</v>
      </c>
      <c r="J975" s="3">
        <f t="shared" si="7"/>
        <v>5</v>
      </c>
      <c r="K975" s="3">
        <f t="shared" si="8"/>
        <v>225</v>
      </c>
      <c r="L975" s="4">
        <f t="shared" si="9"/>
        <v>0</v>
      </c>
      <c r="M975" s="3">
        <f t="shared" si="10"/>
        <v>1125</v>
      </c>
      <c r="N975" s="3">
        <f t="shared" si="11"/>
        <v>788</v>
      </c>
      <c r="O975" s="3">
        <f t="shared" si="12"/>
        <v>337</v>
      </c>
      <c r="P975" s="3" t="str">
        <f t="shared" si="13"/>
        <v>NET BANKING</v>
      </c>
      <c r="Q975" s="3" t="str">
        <f t="shared" si="14"/>
        <v>SHIPPED</v>
      </c>
    </row>
    <row r="976">
      <c r="A976" s="1" t="s">
        <v>2978</v>
      </c>
      <c r="B976" s="2">
        <f t="shared" si="1"/>
        <v>46094</v>
      </c>
      <c r="C976" s="1" t="s">
        <v>2979</v>
      </c>
      <c r="D976" s="3" t="str">
        <f t="shared" si="2"/>
        <v>RATHA</v>
      </c>
      <c r="E976" s="3" t="str">
        <f t="shared" si="3"/>
        <v>TELUGANA</v>
      </c>
      <c r="F976" s="3" t="str">
        <f t="shared" si="4"/>
        <v>HYDERABAD</v>
      </c>
      <c r="G976" s="1" t="s">
        <v>2980</v>
      </c>
      <c r="H976" s="3" t="str">
        <f t="shared" si="5"/>
        <v>HOME &amp; KITCHEN</v>
      </c>
      <c r="I976" s="3" t="str">
        <f t="shared" si="6"/>
        <v>MIXER GRAINDER</v>
      </c>
      <c r="J976" s="3">
        <f t="shared" si="7"/>
        <v>1</v>
      </c>
      <c r="K976" s="3">
        <f t="shared" si="8"/>
        <v>221</v>
      </c>
      <c r="L976" s="4">
        <f t="shared" si="9"/>
        <v>0.15</v>
      </c>
      <c r="M976" s="3">
        <f t="shared" si="10"/>
        <v>187.85</v>
      </c>
      <c r="N976" s="3">
        <f t="shared" si="11"/>
        <v>131</v>
      </c>
      <c r="O976" s="3">
        <f t="shared" si="12"/>
        <v>57</v>
      </c>
      <c r="P976" s="3" t="str">
        <f t="shared" si="13"/>
        <v>WALLET</v>
      </c>
      <c r="Q976" s="3" t="str">
        <f t="shared" si="14"/>
        <v>CANCELLED</v>
      </c>
    </row>
    <row r="977">
      <c r="A977" s="1" t="s">
        <v>2981</v>
      </c>
      <c r="B977" s="2">
        <f t="shared" si="1"/>
        <v>46244</v>
      </c>
      <c r="C977" s="1" t="s">
        <v>2982</v>
      </c>
      <c r="D977" s="3" t="str">
        <f t="shared" si="2"/>
        <v>SUSA</v>
      </c>
      <c r="E977" s="3" t="str">
        <f t="shared" si="3"/>
        <v>UTTHRA PRADESH</v>
      </c>
      <c r="F977" s="3" t="str">
        <f t="shared" si="4"/>
        <v>LUCKNOW</v>
      </c>
      <c r="G977" s="1" t="s">
        <v>2983</v>
      </c>
      <c r="H977" s="3" t="str">
        <f t="shared" si="5"/>
        <v>BOOKS</v>
      </c>
      <c r="I977" s="3" t="str">
        <f t="shared" si="6"/>
        <v>LIFE OF PI</v>
      </c>
      <c r="J977" s="3">
        <f t="shared" si="7"/>
        <v>3</v>
      </c>
      <c r="K977" s="3">
        <f t="shared" si="8"/>
        <v>325</v>
      </c>
      <c r="L977" s="4">
        <f t="shared" si="9"/>
        <v>0.15</v>
      </c>
      <c r="M977" s="3">
        <f t="shared" si="10"/>
        <v>828.75</v>
      </c>
      <c r="N977" s="3">
        <f t="shared" si="11"/>
        <v>580</v>
      </c>
      <c r="O977" s="3">
        <f t="shared" si="12"/>
        <v>249</v>
      </c>
      <c r="P977" s="3" t="str">
        <f t="shared" si="13"/>
        <v>UPI</v>
      </c>
      <c r="Q977" s="3" t="str">
        <f t="shared" si="14"/>
        <v>RETURNED</v>
      </c>
    </row>
    <row r="978">
      <c r="A978" s="1" t="s">
        <v>2984</v>
      </c>
      <c r="B978" s="2">
        <f t="shared" si="1"/>
        <v>46307</v>
      </c>
      <c r="C978" s="1" t="s">
        <v>2985</v>
      </c>
      <c r="D978" s="3" t="str">
        <f t="shared" si="2"/>
        <v>NIVE</v>
      </c>
      <c r="E978" s="3" t="str">
        <f t="shared" si="3"/>
        <v>GUJARAT</v>
      </c>
      <c r="F978" s="3" t="str">
        <f t="shared" si="4"/>
        <v>SURAT</v>
      </c>
      <c r="G978" s="1" t="s">
        <v>2986</v>
      </c>
      <c r="H978" s="3" t="str">
        <f t="shared" si="5"/>
        <v>ACCESSORIES</v>
      </c>
      <c r="I978" s="3" t="str">
        <f t="shared" si="6"/>
        <v>EARRINGS</v>
      </c>
      <c r="J978" s="3">
        <f t="shared" si="7"/>
        <v>2</v>
      </c>
      <c r="K978" s="3">
        <f t="shared" si="8"/>
        <v>359</v>
      </c>
      <c r="L978" s="4">
        <f t="shared" si="9"/>
        <v>0.5</v>
      </c>
      <c r="M978" s="3">
        <f t="shared" si="10"/>
        <v>359</v>
      </c>
      <c r="N978" s="3">
        <f t="shared" si="11"/>
        <v>251</v>
      </c>
      <c r="O978" s="3">
        <f t="shared" si="12"/>
        <v>108</v>
      </c>
      <c r="P978" s="3" t="str">
        <f t="shared" si="13"/>
        <v>CARD</v>
      </c>
      <c r="Q978" s="3" t="str">
        <f t="shared" si="14"/>
        <v>DELIVERED</v>
      </c>
    </row>
    <row r="979">
      <c r="A979" s="1" t="s">
        <v>2987</v>
      </c>
      <c r="B979" s="2">
        <f t="shared" si="1"/>
        <v>46239</v>
      </c>
      <c r="C979" s="1" t="s">
        <v>2988</v>
      </c>
      <c r="D979" s="3" t="str">
        <f t="shared" si="2"/>
        <v>VINO</v>
      </c>
      <c r="E979" s="3" t="str">
        <f t="shared" si="3"/>
        <v>RAJASTHAN</v>
      </c>
      <c r="F979" s="3" t="str">
        <f t="shared" si="4"/>
        <v>JAIPUR</v>
      </c>
      <c r="G979" s="1" t="s">
        <v>2989</v>
      </c>
      <c r="H979" s="3" t="str">
        <f t="shared" si="5"/>
        <v>ELECTRONICS</v>
      </c>
      <c r="I979" s="3" t="str">
        <f t="shared" si="6"/>
        <v>WIRELESS EARBUDS</v>
      </c>
      <c r="J979" s="3">
        <f t="shared" si="7"/>
        <v>1</v>
      </c>
      <c r="K979" s="3">
        <f t="shared" si="8"/>
        <v>138</v>
      </c>
      <c r="L979" s="4">
        <f t="shared" si="9"/>
        <v>0.1</v>
      </c>
      <c r="M979" s="3">
        <f t="shared" si="10"/>
        <v>124.2</v>
      </c>
      <c r="N979" s="3">
        <f t="shared" si="11"/>
        <v>87</v>
      </c>
      <c r="O979" s="3">
        <f t="shared" si="12"/>
        <v>37</v>
      </c>
      <c r="P979" s="3" t="str">
        <f t="shared" si="13"/>
        <v>COD</v>
      </c>
      <c r="Q979" s="3" t="str">
        <f t="shared" si="14"/>
        <v>SHIPPED</v>
      </c>
    </row>
    <row r="980">
      <c r="A980" s="1" t="s">
        <v>2990</v>
      </c>
      <c r="B980" s="2">
        <f t="shared" si="1"/>
        <v>46244</v>
      </c>
      <c r="C980" s="1" t="s">
        <v>2991</v>
      </c>
      <c r="D980" s="3" t="str">
        <f t="shared" si="2"/>
        <v>ABI</v>
      </c>
      <c r="E980" s="3" t="str">
        <f t="shared" si="3"/>
        <v>WEST BENGAL</v>
      </c>
      <c r="F980" s="3" t="str">
        <f t="shared" si="4"/>
        <v>KOLKATA</v>
      </c>
      <c r="G980" s="1" t="s">
        <v>2992</v>
      </c>
      <c r="H980" s="3" t="str">
        <f t="shared" si="5"/>
        <v>SPORTS</v>
      </c>
      <c r="I980" s="3" t="str">
        <f t="shared" si="6"/>
        <v>FOOTBALL</v>
      </c>
      <c r="J980" s="3">
        <f t="shared" si="7"/>
        <v>1</v>
      </c>
      <c r="K980" s="3">
        <f t="shared" si="8"/>
        <v>536</v>
      </c>
      <c r="L980" s="4">
        <f t="shared" si="9"/>
        <v>0.17</v>
      </c>
      <c r="M980" s="3">
        <f t="shared" si="10"/>
        <v>444.88</v>
      </c>
      <c r="N980" s="3">
        <f t="shared" si="11"/>
        <v>311</v>
      </c>
      <c r="O980" s="3">
        <f t="shared" si="12"/>
        <v>134</v>
      </c>
      <c r="P980" s="3" t="str">
        <f t="shared" si="13"/>
        <v>NET BANKING</v>
      </c>
      <c r="Q980" s="3" t="str">
        <f t="shared" si="14"/>
        <v>CANCELLED</v>
      </c>
    </row>
    <row r="981">
      <c r="A981" s="1" t="s">
        <v>2993</v>
      </c>
      <c r="B981" s="2">
        <f t="shared" si="1"/>
        <v>46279</v>
      </c>
      <c r="C981" s="1" t="s">
        <v>2994</v>
      </c>
      <c r="D981" s="3" t="str">
        <f t="shared" si="2"/>
        <v>NIHAAR</v>
      </c>
      <c r="E981" s="3" t="str">
        <f t="shared" si="3"/>
        <v>MAGARASTRA</v>
      </c>
      <c r="F981" s="3" t="str">
        <f t="shared" si="4"/>
        <v>PUNE</v>
      </c>
      <c r="G981" s="1" t="s">
        <v>2995</v>
      </c>
      <c r="H981" s="3" t="str">
        <f t="shared" si="5"/>
        <v>FOOD</v>
      </c>
      <c r="I981" s="3" t="str">
        <f t="shared" si="6"/>
        <v>BIRIYANI</v>
      </c>
      <c r="J981" s="3">
        <f t="shared" si="7"/>
        <v>1</v>
      </c>
      <c r="K981" s="3">
        <f t="shared" si="8"/>
        <v>493</v>
      </c>
      <c r="L981" s="4">
        <f t="shared" si="9"/>
        <v>0</v>
      </c>
      <c r="M981" s="3">
        <f t="shared" si="10"/>
        <v>493</v>
      </c>
      <c r="N981" s="3">
        <f t="shared" si="11"/>
        <v>345</v>
      </c>
      <c r="O981" s="3">
        <f t="shared" si="12"/>
        <v>148</v>
      </c>
      <c r="P981" s="3" t="str">
        <f t="shared" si="13"/>
        <v>WALLET</v>
      </c>
      <c r="Q981" s="3" t="str">
        <f t="shared" si="14"/>
        <v>RETURNED</v>
      </c>
    </row>
    <row r="982">
      <c r="A982" s="1" t="s">
        <v>2996</v>
      </c>
      <c r="B982" s="2">
        <f t="shared" si="1"/>
        <v>46205</v>
      </c>
      <c r="C982" s="1" t="s">
        <v>2997</v>
      </c>
      <c r="D982" s="3" t="str">
        <f t="shared" si="2"/>
        <v>SRI</v>
      </c>
      <c r="E982" s="3" t="str">
        <f t="shared" si="3"/>
        <v>TAMILNADU</v>
      </c>
      <c r="F982" s="3" t="str">
        <f t="shared" si="4"/>
        <v>THOOTHUKUDI</v>
      </c>
      <c r="G982" s="1" t="s">
        <v>2998</v>
      </c>
      <c r="H982" s="3" t="str">
        <f t="shared" si="5"/>
        <v>DRESS</v>
      </c>
      <c r="I982" s="3" t="str">
        <f t="shared" si="6"/>
        <v>WOMEN WAERS</v>
      </c>
      <c r="J982" s="3">
        <f t="shared" si="7"/>
        <v>4</v>
      </c>
      <c r="K982" s="3">
        <f t="shared" si="8"/>
        <v>244</v>
      </c>
      <c r="L982" s="4">
        <f t="shared" si="9"/>
        <v>0.1</v>
      </c>
      <c r="M982" s="3">
        <f t="shared" si="10"/>
        <v>878.4</v>
      </c>
      <c r="N982" s="3">
        <f t="shared" si="11"/>
        <v>615</v>
      </c>
      <c r="O982" s="3">
        <f t="shared" si="12"/>
        <v>263</v>
      </c>
      <c r="P982" s="3" t="str">
        <f t="shared" si="13"/>
        <v>UPI</v>
      </c>
      <c r="Q982" s="3" t="str">
        <f t="shared" si="14"/>
        <v>DELIVERED</v>
      </c>
    </row>
    <row r="983">
      <c r="A983" s="1" t="s">
        <v>2999</v>
      </c>
      <c r="B983" s="2">
        <f t="shared" si="1"/>
        <v>46362</v>
      </c>
      <c r="C983" s="1" t="s">
        <v>3000</v>
      </c>
      <c r="D983" s="3" t="str">
        <f t="shared" si="2"/>
        <v>SHOBN</v>
      </c>
      <c r="E983" s="3" t="str">
        <f t="shared" si="3"/>
        <v>KERALA</v>
      </c>
      <c r="F983" s="3" t="str">
        <f t="shared" si="4"/>
        <v>KOCHI</v>
      </c>
      <c r="G983" s="1" t="s">
        <v>3001</v>
      </c>
      <c r="H983" s="3" t="str">
        <f t="shared" si="5"/>
        <v>BEAUTY</v>
      </c>
      <c r="I983" s="3" t="str">
        <f t="shared" si="6"/>
        <v>KAJAL</v>
      </c>
      <c r="J983" s="3">
        <f t="shared" si="7"/>
        <v>1</v>
      </c>
      <c r="K983" s="3">
        <f t="shared" si="8"/>
        <v>270</v>
      </c>
      <c r="L983" s="4">
        <f t="shared" si="9"/>
        <v>0.5</v>
      </c>
      <c r="M983" s="3">
        <f t="shared" si="10"/>
        <v>135</v>
      </c>
      <c r="N983" s="3">
        <f t="shared" si="11"/>
        <v>95</v>
      </c>
      <c r="O983" s="3">
        <f t="shared" si="12"/>
        <v>40</v>
      </c>
      <c r="P983" s="3" t="str">
        <f t="shared" si="13"/>
        <v>CARD</v>
      </c>
      <c r="Q983" s="3" t="str">
        <f t="shared" si="14"/>
        <v>SHIPPED</v>
      </c>
    </row>
    <row r="984">
      <c r="A984" s="1" t="s">
        <v>3002</v>
      </c>
      <c r="B984" s="2">
        <f t="shared" si="1"/>
        <v>46064</v>
      </c>
      <c r="C984" s="1" t="s">
        <v>3003</v>
      </c>
      <c r="D984" s="3" t="str">
        <f t="shared" si="2"/>
        <v>SOBI</v>
      </c>
      <c r="E984" s="3" t="str">
        <f t="shared" si="3"/>
        <v>KARNATAKA</v>
      </c>
      <c r="F984" s="3" t="str">
        <f t="shared" si="4"/>
        <v>BANGALURU</v>
      </c>
      <c r="G984" s="1" t="s">
        <v>3004</v>
      </c>
      <c r="H984" s="3" t="str">
        <f t="shared" si="5"/>
        <v>HOME &amp; KITCHEN</v>
      </c>
      <c r="I984" s="3" t="str">
        <f t="shared" si="6"/>
        <v>MIXER GRAINDER</v>
      </c>
      <c r="J984" s="3">
        <f t="shared" si="7"/>
        <v>5</v>
      </c>
      <c r="K984" s="3">
        <f t="shared" si="8"/>
        <v>268</v>
      </c>
      <c r="L984" s="4">
        <f t="shared" si="9"/>
        <v>0.15</v>
      </c>
      <c r="M984" s="3">
        <f t="shared" si="10"/>
        <v>1139</v>
      </c>
      <c r="N984" s="3">
        <f t="shared" si="11"/>
        <v>797</v>
      </c>
      <c r="O984" s="3">
        <f t="shared" si="12"/>
        <v>342</v>
      </c>
      <c r="P984" s="3" t="str">
        <f t="shared" si="13"/>
        <v>COD</v>
      </c>
      <c r="Q984" s="3" t="str">
        <f t="shared" si="14"/>
        <v>CANCELLED</v>
      </c>
    </row>
    <row r="985">
      <c r="A985" s="1" t="s">
        <v>3005</v>
      </c>
      <c r="B985" s="2">
        <f t="shared" si="1"/>
        <v>46257</v>
      </c>
      <c r="C985" s="1" t="s">
        <v>3006</v>
      </c>
      <c r="D985" s="3" t="str">
        <f t="shared" si="2"/>
        <v>SUJI</v>
      </c>
      <c r="E985" s="3" t="str">
        <f t="shared" si="3"/>
        <v>ANDHRA PRADESH</v>
      </c>
      <c r="F985" s="3" t="str">
        <f t="shared" si="4"/>
        <v>TIRUPATI</v>
      </c>
      <c r="G985" s="1" t="s">
        <v>3007</v>
      </c>
      <c r="H985" s="3" t="str">
        <f t="shared" si="5"/>
        <v>BOOKS</v>
      </c>
      <c r="I985" s="3" t="str">
        <f t="shared" si="6"/>
        <v>LIFE OF PI</v>
      </c>
      <c r="J985" s="3">
        <f t="shared" si="7"/>
        <v>3</v>
      </c>
      <c r="K985" s="3">
        <f t="shared" si="8"/>
        <v>328</v>
      </c>
      <c r="L985" s="4">
        <f t="shared" si="9"/>
        <v>0.2</v>
      </c>
      <c r="M985" s="3">
        <f t="shared" si="10"/>
        <v>787.2</v>
      </c>
      <c r="N985" s="3">
        <f t="shared" si="11"/>
        <v>551</v>
      </c>
      <c r="O985" s="3">
        <f t="shared" si="12"/>
        <v>236</v>
      </c>
      <c r="P985" s="3" t="str">
        <f t="shared" si="13"/>
        <v>NET BANKING</v>
      </c>
      <c r="Q985" s="3" t="str">
        <f t="shared" si="14"/>
        <v>RETURNED</v>
      </c>
    </row>
    <row r="986">
      <c r="A986" s="1" t="s">
        <v>3008</v>
      </c>
      <c r="B986" s="2">
        <f t="shared" si="1"/>
        <v>46099</v>
      </c>
      <c r="C986" s="1" t="s">
        <v>3009</v>
      </c>
      <c r="D986" s="3" t="str">
        <f t="shared" si="2"/>
        <v>RATHA</v>
      </c>
      <c r="E986" s="3" t="str">
        <f t="shared" si="3"/>
        <v>TELUGANA</v>
      </c>
      <c r="F986" s="3" t="str">
        <f t="shared" si="4"/>
        <v>HYDERABAD</v>
      </c>
      <c r="G986" s="1" t="s">
        <v>3010</v>
      </c>
      <c r="H986" s="3" t="str">
        <f t="shared" si="5"/>
        <v>ACCESSORIES</v>
      </c>
      <c r="I986" s="3" t="str">
        <f t="shared" si="6"/>
        <v>EARRINGS</v>
      </c>
      <c r="J986" s="3">
        <f t="shared" si="7"/>
        <v>2</v>
      </c>
      <c r="K986" s="3">
        <f t="shared" si="8"/>
        <v>195</v>
      </c>
      <c r="L986" s="4">
        <f t="shared" si="9"/>
        <v>0</v>
      </c>
      <c r="M986" s="3">
        <f t="shared" si="10"/>
        <v>390</v>
      </c>
      <c r="N986" s="3">
        <f t="shared" si="11"/>
        <v>273</v>
      </c>
      <c r="O986" s="3">
        <f t="shared" si="12"/>
        <v>117</v>
      </c>
      <c r="P986" s="3" t="str">
        <f t="shared" si="13"/>
        <v>WALLET</v>
      </c>
      <c r="Q986" s="3" t="str">
        <f t="shared" si="14"/>
        <v>DELIVERED</v>
      </c>
    </row>
    <row r="987">
      <c r="A987" s="1" t="s">
        <v>3011</v>
      </c>
      <c r="B987" s="2">
        <f t="shared" si="1"/>
        <v>46342</v>
      </c>
      <c r="C987" s="1" t="s">
        <v>3012</v>
      </c>
      <c r="D987" s="3" t="str">
        <f t="shared" si="2"/>
        <v>SUSA</v>
      </c>
      <c r="E987" s="3" t="str">
        <f t="shared" si="3"/>
        <v>UTTHRA PRADESH</v>
      </c>
      <c r="F987" s="3" t="str">
        <f t="shared" si="4"/>
        <v>LUCKNOW</v>
      </c>
      <c r="G987" s="1" t="s">
        <v>3013</v>
      </c>
      <c r="H987" s="3" t="str">
        <f t="shared" si="5"/>
        <v>ELECTRONICS</v>
      </c>
      <c r="I987" s="3" t="str">
        <f t="shared" si="6"/>
        <v>WIRELESS EARBUDS</v>
      </c>
      <c r="J987" s="3">
        <f t="shared" si="7"/>
        <v>5</v>
      </c>
      <c r="K987" s="3">
        <f t="shared" si="8"/>
        <v>277</v>
      </c>
      <c r="L987" s="4">
        <f t="shared" si="9"/>
        <v>0.17</v>
      </c>
      <c r="M987" s="3">
        <f t="shared" si="10"/>
        <v>1149.55</v>
      </c>
      <c r="N987" s="3">
        <f t="shared" si="11"/>
        <v>805</v>
      </c>
      <c r="O987" s="3">
        <f t="shared" si="12"/>
        <v>345</v>
      </c>
      <c r="P987" s="3" t="str">
        <f t="shared" si="13"/>
        <v>UPI</v>
      </c>
      <c r="Q987" s="3" t="str">
        <f t="shared" si="14"/>
        <v>SHIPPED</v>
      </c>
    </row>
    <row r="988">
      <c r="A988" s="1" t="s">
        <v>3014</v>
      </c>
      <c r="B988" s="2">
        <f t="shared" si="1"/>
        <v>46128</v>
      </c>
      <c r="C988" s="1" t="s">
        <v>3015</v>
      </c>
      <c r="D988" s="3" t="str">
        <f t="shared" si="2"/>
        <v>NIVE</v>
      </c>
      <c r="E988" s="3" t="str">
        <f t="shared" si="3"/>
        <v>GUJARAT</v>
      </c>
      <c r="F988" s="3" t="str">
        <f t="shared" si="4"/>
        <v>SURAT</v>
      </c>
      <c r="G988" s="1" t="s">
        <v>3016</v>
      </c>
      <c r="H988" s="3" t="str">
        <f t="shared" si="5"/>
        <v>SPORTS</v>
      </c>
      <c r="I988" s="3" t="str">
        <f t="shared" si="6"/>
        <v>FOOTBALL</v>
      </c>
      <c r="J988" s="3">
        <f t="shared" si="7"/>
        <v>5</v>
      </c>
      <c r="K988" s="3">
        <f t="shared" si="8"/>
        <v>400</v>
      </c>
      <c r="L988" s="4">
        <f t="shared" si="9"/>
        <v>0</v>
      </c>
      <c r="M988" s="3">
        <f t="shared" si="10"/>
        <v>2000</v>
      </c>
      <c r="N988" s="3">
        <f t="shared" si="11"/>
        <v>1400</v>
      </c>
      <c r="O988" s="3">
        <f t="shared" si="12"/>
        <v>600</v>
      </c>
      <c r="P988" s="3" t="str">
        <f t="shared" si="13"/>
        <v>CARD</v>
      </c>
      <c r="Q988" s="3" t="str">
        <f t="shared" si="14"/>
        <v>CANCELLED</v>
      </c>
    </row>
    <row r="989">
      <c r="A989" s="1" t="s">
        <v>3017</v>
      </c>
      <c r="B989" s="2">
        <f t="shared" si="1"/>
        <v>46333</v>
      </c>
      <c r="C989" s="1" t="s">
        <v>3018</v>
      </c>
      <c r="D989" s="3" t="str">
        <f t="shared" si="2"/>
        <v>VINO</v>
      </c>
      <c r="E989" s="3" t="str">
        <f t="shared" si="3"/>
        <v>RAJASTHAN</v>
      </c>
      <c r="F989" s="3" t="str">
        <f t="shared" si="4"/>
        <v>JAIPUR</v>
      </c>
      <c r="G989" s="1" t="s">
        <v>3019</v>
      </c>
      <c r="H989" s="3" t="str">
        <f t="shared" si="5"/>
        <v>FOOD</v>
      </c>
      <c r="I989" s="3" t="str">
        <f t="shared" si="6"/>
        <v>BIRIYANI</v>
      </c>
      <c r="J989" s="3">
        <f t="shared" si="7"/>
        <v>4</v>
      </c>
      <c r="K989" s="3">
        <f t="shared" si="8"/>
        <v>323</v>
      </c>
      <c r="L989" s="4">
        <f t="shared" si="9"/>
        <v>0.17</v>
      </c>
      <c r="M989" s="3">
        <f t="shared" si="10"/>
        <v>1072.36</v>
      </c>
      <c r="N989" s="3">
        <f t="shared" si="11"/>
        <v>751</v>
      </c>
      <c r="O989" s="3">
        <f t="shared" si="12"/>
        <v>321</v>
      </c>
      <c r="P989" s="3" t="str">
        <f t="shared" si="13"/>
        <v>COD</v>
      </c>
      <c r="Q989" s="3" t="str">
        <f t="shared" si="14"/>
        <v>RETURNED</v>
      </c>
    </row>
    <row r="990">
      <c r="A990" s="1" t="s">
        <v>3020</v>
      </c>
      <c r="B990" s="2">
        <f t="shared" si="1"/>
        <v>46137</v>
      </c>
      <c r="C990" s="1" t="s">
        <v>3021</v>
      </c>
      <c r="D990" s="3" t="str">
        <f t="shared" si="2"/>
        <v>ABI</v>
      </c>
      <c r="E990" s="3" t="str">
        <f t="shared" si="3"/>
        <v>WEST BENGAL</v>
      </c>
      <c r="F990" s="3" t="str">
        <f t="shared" si="4"/>
        <v>KOLKATA</v>
      </c>
      <c r="G990" s="1" t="s">
        <v>3022</v>
      </c>
      <c r="H990" s="3" t="str">
        <f t="shared" si="5"/>
        <v>DRESS</v>
      </c>
      <c r="I990" s="3" t="str">
        <f t="shared" si="6"/>
        <v>WOMEN WAERS</v>
      </c>
      <c r="J990" s="3">
        <f t="shared" si="7"/>
        <v>1</v>
      </c>
      <c r="K990" s="3">
        <f t="shared" si="8"/>
        <v>284</v>
      </c>
      <c r="L990" s="4">
        <f t="shared" si="9"/>
        <v>0.1</v>
      </c>
      <c r="M990" s="3">
        <f t="shared" si="10"/>
        <v>255.6</v>
      </c>
      <c r="N990" s="3">
        <f t="shared" si="11"/>
        <v>179</v>
      </c>
      <c r="O990" s="3">
        <f t="shared" si="12"/>
        <v>77</v>
      </c>
      <c r="P990" s="3" t="str">
        <f t="shared" si="13"/>
        <v>NET BANKING</v>
      </c>
      <c r="Q990" s="3" t="str">
        <f t="shared" si="14"/>
        <v>DELIVERED</v>
      </c>
    </row>
    <row r="991">
      <c r="A991" s="1" t="s">
        <v>3023</v>
      </c>
      <c r="B991" s="2">
        <f t="shared" si="1"/>
        <v>46074</v>
      </c>
      <c r="C991" s="1" t="s">
        <v>3024</v>
      </c>
      <c r="D991" s="3" t="str">
        <f t="shared" si="2"/>
        <v>NIHAAR</v>
      </c>
      <c r="E991" s="3" t="str">
        <f t="shared" si="3"/>
        <v>MAGARASTRA</v>
      </c>
      <c r="F991" s="3" t="str">
        <f t="shared" si="4"/>
        <v>PUNE</v>
      </c>
      <c r="G991" s="1" t="s">
        <v>3025</v>
      </c>
      <c r="H991" s="3" t="str">
        <f t="shared" si="5"/>
        <v>BEAUTY</v>
      </c>
      <c r="I991" s="3" t="str">
        <f t="shared" si="6"/>
        <v>KAJAL</v>
      </c>
      <c r="J991" s="3">
        <f t="shared" si="7"/>
        <v>5</v>
      </c>
      <c r="K991" s="3">
        <f t="shared" si="8"/>
        <v>119</v>
      </c>
      <c r="L991" s="4">
        <f t="shared" si="9"/>
        <v>0.2</v>
      </c>
      <c r="M991" s="3">
        <f t="shared" si="10"/>
        <v>476</v>
      </c>
      <c r="N991" s="3">
        <f t="shared" si="11"/>
        <v>333</v>
      </c>
      <c r="O991" s="3">
        <f t="shared" si="12"/>
        <v>143</v>
      </c>
      <c r="P991" s="3" t="str">
        <f t="shared" si="13"/>
        <v>WALLET</v>
      </c>
      <c r="Q991" s="3" t="str">
        <f t="shared" si="14"/>
        <v>SHIPPED</v>
      </c>
    </row>
    <row r="992">
      <c r="A992" s="1" t="s">
        <v>3026</v>
      </c>
      <c r="B992" s="2">
        <f t="shared" si="1"/>
        <v>46084</v>
      </c>
      <c r="C992" s="1" t="s">
        <v>3027</v>
      </c>
      <c r="D992" s="3" t="str">
        <f t="shared" si="2"/>
        <v>SRI</v>
      </c>
      <c r="E992" s="3" t="str">
        <f t="shared" si="3"/>
        <v>TAMILNADU</v>
      </c>
      <c r="F992" s="3" t="str">
        <f t="shared" si="4"/>
        <v>THOOTHUKUDI</v>
      </c>
      <c r="G992" s="1" t="s">
        <v>3028</v>
      </c>
      <c r="H992" s="3" t="str">
        <f t="shared" si="5"/>
        <v>HOME &amp; KITCHEN</v>
      </c>
      <c r="I992" s="3" t="str">
        <f t="shared" si="6"/>
        <v>MIXER GRAINDER</v>
      </c>
      <c r="J992" s="3">
        <f t="shared" si="7"/>
        <v>5</v>
      </c>
      <c r="K992" s="3">
        <f t="shared" si="8"/>
        <v>598</v>
      </c>
      <c r="L992" s="4">
        <f t="shared" si="9"/>
        <v>0</v>
      </c>
      <c r="M992" s="3">
        <f t="shared" si="10"/>
        <v>2990</v>
      </c>
      <c r="N992" s="3">
        <f t="shared" si="11"/>
        <v>2093</v>
      </c>
      <c r="O992" s="3">
        <f t="shared" si="12"/>
        <v>897</v>
      </c>
      <c r="P992" s="3" t="str">
        <f t="shared" si="13"/>
        <v>UPI</v>
      </c>
      <c r="Q992" s="3" t="str">
        <f t="shared" si="14"/>
        <v>CANCELLED</v>
      </c>
    </row>
    <row r="993">
      <c r="A993" s="1" t="s">
        <v>3029</v>
      </c>
      <c r="B993" s="2">
        <f t="shared" si="1"/>
        <v>46024</v>
      </c>
      <c r="C993" s="1" t="s">
        <v>3030</v>
      </c>
      <c r="D993" s="3" t="str">
        <f t="shared" si="2"/>
        <v>SHOBN</v>
      </c>
      <c r="E993" s="3" t="str">
        <f t="shared" si="3"/>
        <v>KERALA</v>
      </c>
      <c r="F993" s="3" t="str">
        <f t="shared" si="4"/>
        <v>KOCHI</v>
      </c>
      <c r="G993" s="1" t="s">
        <v>3031</v>
      </c>
      <c r="H993" s="3" t="str">
        <f t="shared" si="5"/>
        <v>BOOKS</v>
      </c>
      <c r="I993" s="3" t="str">
        <f t="shared" si="6"/>
        <v>LIFE OF PI</v>
      </c>
      <c r="J993" s="3">
        <f t="shared" si="7"/>
        <v>1</v>
      </c>
      <c r="K993" s="3">
        <f t="shared" si="8"/>
        <v>446</v>
      </c>
      <c r="L993" s="4">
        <f t="shared" si="9"/>
        <v>0.5</v>
      </c>
      <c r="M993" s="3">
        <f t="shared" si="10"/>
        <v>223</v>
      </c>
      <c r="N993" s="3">
        <f t="shared" si="11"/>
        <v>156</v>
      </c>
      <c r="O993" s="3">
        <f t="shared" si="12"/>
        <v>67</v>
      </c>
      <c r="P993" s="3" t="str">
        <f t="shared" si="13"/>
        <v>CARD</v>
      </c>
      <c r="Q993" s="3" t="str">
        <f t="shared" si="14"/>
        <v>RETURNED</v>
      </c>
    </row>
    <row r="994">
      <c r="A994" s="1" t="s">
        <v>3032</v>
      </c>
      <c r="B994" s="2">
        <f t="shared" si="1"/>
        <v>46336</v>
      </c>
      <c r="C994" s="1" t="s">
        <v>3033</v>
      </c>
      <c r="D994" s="3" t="str">
        <f t="shared" si="2"/>
        <v>SOBI</v>
      </c>
      <c r="E994" s="3" t="str">
        <f t="shared" si="3"/>
        <v>KARNATAKA</v>
      </c>
      <c r="F994" s="3" t="str">
        <f t="shared" si="4"/>
        <v>BANGALURU</v>
      </c>
      <c r="G994" s="1" t="s">
        <v>3034</v>
      </c>
      <c r="H994" s="3" t="str">
        <f t="shared" si="5"/>
        <v>ACCESSORIES</v>
      </c>
      <c r="I994" s="3" t="str">
        <f t="shared" si="6"/>
        <v>EARRINGS</v>
      </c>
      <c r="J994" s="3">
        <f t="shared" si="7"/>
        <v>5</v>
      </c>
      <c r="K994" s="3">
        <f t="shared" si="8"/>
        <v>363</v>
      </c>
      <c r="L994" s="4">
        <f t="shared" si="9"/>
        <v>0</v>
      </c>
      <c r="M994" s="3">
        <f t="shared" si="10"/>
        <v>1815</v>
      </c>
      <c r="N994" s="3">
        <f t="shared" si="11"/>
        <v>1271</v>
      </c>
      <c r="O994" s="3">
        <f t="shared" si="12"/>
        <v>544</v>
      </c>
      <c r="P994" s="3" t="str">
        <f t="shared" si="13"/>
        <v>COD</v>
      </c>
      <c r="Q994" s="3" t="str">
        <f t="shared" si="14"/>
        <v>DELIVERED</v>
      </c>
    </row>
    <row r="995">
      <c r="A995" s="1" t="s">
        <v>3035</v>
      </c>
      <c r="B995" s="2">
        <f t="shared" si="1"/>
        <v>46247</v>
      </c>
      <c r="C995" s="1" t="s">
        <v>3036</v>
      </c>
      <c r="D995" s="3" t="str">
        <f t="shared" si="2"/>
        <v>SUJI</v>
      </c>
      <c r="E995" s="3" t="str">
        <f t="shared" si="3"/>
        <v>ANDHRA PRADESH</v>
      </c>
      <c r="F995" s="3" t="str">
        <f t="shared" si="4"/>
        <v>TIRUPATI</v>
      </c>
      <c r="G995" s="1" t="s">
        <v>3037</v>
      </c>
      <c r="H995" s="3" t="str">
        <f t="shared" si="5"/>
        <v>ELECTRONICS</v>
      </c>
      <c r="I995" s="3" t="str">
        <f t="shared" si="6"/>
        <v>WIRELESS EARBUDS</v>
      </c>
      <c r="J995" s="3">
        <f t="shared" si="7"/>
        <v>4</v>
      </c>
      <c r="K995" s="3">
        <f t="shared" si="8"/>
        <v>102</v>
      </c>
      <c r="L995" s="4">
        <f t="shared" si="9"/>
        <v>0</v>
      </c>
      <c r="M995" s="3">
        <f t="shared" si="10"/>
        <v>408</v>
      </c>
      <c r="N995" s="3">
        <f t="shared" si="11"/>
        <v>286</v>
      </c>
      <c r="O995" s="3">
        <f t="shared" si="12"/>
        <v>122</v>
      </c>
      <c r="P995" s="3" t="str">
        <f t="shared" si="13"/>
        <v>NET BANKING</v>
      </c>
      <c r="Q995" s="3" t="str">
        <f t="shared" si="14"/>
        <v>SHIPPED</v>
      </c>
    </row>
    <row r="996">
      <c r="A996" s="1" t="s">
        <v>3038</v>
      </c>
      <c r="B996" s="2">
        <f t="shared" si="1"/>
        <v>46065</v>
      </c>
      <c r="C996" s="1" t="s">
        <v>3039</v>
      </c>
      <c r="D996" s="3" t="str">
        <f t="shared" si="2"/>
        <v>RATHA</v>
      </c>
      <c r="E996" s="3" t="str">
        <f t="shared" si="3"/>
        <v>TELUGANA</v>
      </c>
      <c r="F996" s="3" t="str">
        <f t="shared" si="4"/>
        <v>HYDERABAD</v>
      </c>
      <c r="G996" s="1" t="s">
        <v>3040</v>
      </c>
      <c r="H996" s="3" t="str">
        <f t="shared" si="5"/>
        <v>SPORTS</v>
      </c>
      <c r="I996" s="3" t="str">
        <f t="shared" si="6"/>
        <v>FOOTBALL</v>
      </c>
      <c r="J996" s="3">
        <f t="shared" si="7"/>
        <v>3</v>
      </c>
      <c r="K996" s="3">
        <f t="shared" si="8"/>
        <v>551</v>
      </c>
      <c r="L996" s="4">
        <f t="shared" si="9"/>
        <v>0.5</v>
      </c>
      <c r="M996" s="3">
        <f t="shared" si="10"/>
        <v>826.5</v>
      </c>
      <c r="N996" s="3">
        <f t="shared" si="11"/>
        <v>579</v>
      </c>
      <c r="O996" s="3">
        <f t="shared" si="12"/>
        <v>248</v>
      </c>
      <c r="P996" s="3" t="str">
        <f t="shared" si="13"/>
        <v>WALLET</v>
      </c>
      <c r="Q996" s="3" t="str">
        <f t="shared" si="14"/>
        <v>CANCELLED</v>
      </c>
    </row>
    <row r="997">
      <c r="A997" s="1" t="s">
        <v>3041</v>
      </c>
      <c r="B997" s="2">
        <f t="shared" si="1"/>
        <v>46261</v>
      </c>
      <c r="C997" s="1" t="s">
        <v>3042</v>
      </c>
      <c r="D997" s="3" t="str">
        <f t="shared" si="2"/>
        <v>SUSA</v>
      </c>
      <c r="E997" s="3" t="str">
        <f t="shared" si="3"/>
        <v>UTTHRA PRADESH</v>
      </c>
      <c r="F997" s="3" t="str">
        <f t="shared" si="4"/>
        <v>LUCKNOW</v>
      </c>
      <c r="G997" s="1" t="s">
        <v>3043</v>
      </c>
      <c r="H997" s="3" t="str">
        <f t="shared" si="5"/>
        <v>FOOD</v>
      </c>
      <c r="I997" s="3" t="str">
        <f t="shared" si="6"/>
        <v>BIRIYANI</v>
      </c>
      <c r="J997" s="3">
        <f t="shared" si="7"/>
        <v>5</v>
      </c>
      <c r="K997" s="3">
        <f t="shared" si="8"/>
        <v>256</v>
      </c>
      <c r="L997" s="4">
        <f t="shared" si="9"/>
        <v>0.2</v>
      </c>
      <c r="M997" s="3">
        <f t="shared" si="10"/>
        <v>1024</v>
      </c>
      <c r="N997" s="3">
        <f t="shared" si="11"/>
        <v>717</v>
      </c>
      <c r="O997" s="3">
        <f t="shared" si="12"/>
        <v>307</v>
      </c>
      <c r="P997" s="3" t="str">
        <f t="shared" si="13"/>
        <v>UPI</v>
      </c>
      <c r="Q997" s="3" t="str">
        <f t="shared" si="14"/>
        <v>RETURNED</v>
      </c>
    </row>
    <row r="998">
      <c r="A998" s="1" t="s">
        <v>3044</v>
      </c>
      <c r="B998" s="2">
        <f t="shared" si="1"/>
        <v>46251</v>
      </c>
      <c r="C998" s="1" t="s">
        <v>3045</v>
      </c>
      <c r="D998" s="3" t="str">
        <f t="shared" si="2"/>
        <v>NIVE</v>
      </c>
      <c r="E998" s="3" t="str">
        <f t="shared" si="3"/>
        <v>GUJARAT</v>
      </c>
      <c r="F998" s="3" t="str">
        <f t="shared" si="4"/>
        <v>SURAT</v>
      </c>
      <c r="G998" s="1" t="s">
        <v>3046</v>
      </c>
      <c r="H998" s="3" t="str">
        <f t="shared" si="5"/>
        <v>DRESS</v>
      </c>
      <c r="I998" s="3" t="str">
        <f t="shared" si="6"/>
        <v>WOMEN WAERS</v>
      </c>
      <c r="J998" s="3">
        <f t="shared" si="7"/>
        <v>3</v>
      </c>
      <c r="K998" s="3">
        <f t="shared" si="8"/>
        <v>513</v>
      </c>
      <c r="L998" s="4">
        <f t="shared" si="9"/>
        <v>0.2</v>
      </c>
      <c r="M998" s="3">
        <f t="shared" si="10"/>
        <v>1231.2</v>
      </c>
      <c r="N998" s="3">
        <f t="shared" si="11"/>
        <v>862</v>
      </c>
      <c r="O998" s="3">
        <f t="shared" si="12"/>
        <v>369</v>
      </c>
      <c r="P998" s="3" t="str">
        <f t="shared" si="13"/>
        <v>CARD</v>
      </c>
      <c r="Q998" s="3" t="str">
        <f t="shared" si="14"/>
        <v>DELIVERED</v>
      </c>
    </row>
    <row r="999">
      <c r="A999" s="1" t="s">
        <v>3047</v>
      </c>
      <c r="B999" s="2">
        <f t="shared" si="1"/>
        <v>46049</v>
      </c>
      <c r="C999" s="1" t="s">
        <v>3048</v>
      </c>
      <c r="D999" s="3" t="str">
        <f t="shared" si="2"/>
        <v>VINO</v>
      </c>
      <c r="E999" s="3" t="str">
        <f t="shared" si="3"/>
        <v>RAJASTHAN</v>
      </c>
      <c r="F999" s="3" t="str">
        <f t="shared" si="4"/>
        <v>JAIPUR</v>
      </c>
      <c r="G999" s="1" t="s">
        <v>3049</v>
      </c>
      <c r="H999" s="3" t="str">
        <f t="shared" si="5"/>
        <v>BEAUTY</v>
      </c>
      <c r="I999" s="3" t="str">
        <f t="shared" si="6"/>
        <v>KAJAL</v>
      </c>
      <c r="J999" s="3">
        <f t="shared" si="7"/>
        <v>5</v>
      </c>
      <c r="K999" s="3">
        <f t="shared" si="8"/>
        <v>133</v>
      </c>
      <c r="L999" s="4">
        <f t="shared" si="9"/>
        <v>0.1</v>
      </c>
      <c r="M999" s="3">
        <f t="shared" si="10"/>
        <v>598.5</v>
      </c>
      <c r="N999" s="3">
        <f t="shared" si="11"/>
        <v>419</v>
      </c>
      <c r="O999" s="3">
        <f t="shared" si="12"/>
        <v>180</v>
      </c>
      <c r="P999" s="3" t="str">
        <f t="shared" si="13"/>
        <v>COD</v>
      </c>
      <c r="Q999" s="3" t="str">
        <f t="shared" si="14"/>
        <v>SHIPPED</v>
      </c>
    </row>
    <row r="1000">
      <c r="A1000" s="1" t="s">
        <v>3050</v>
      </c>
      <c r="B1000" s="2">
        <f t="shared" si="1"/>
        <v>46307</v>
      </c>
      <c r="C1000" s="1" t="s">
        <v>3051</v>
      </c>
      <c r="D1000" s="3" t="str">
        <f t="shared" si="2"/>
        <v>ABI</v>
      </c>
      <c r="E1000" s="3" t="str">
        <f t="shared" si="3"/>
        <v>WEST BENGAL</v>
      </c>
      <c r="F1000" s="3" t="str">
        <f t="shared" si="4"/>
        <v>KOLKATA</v>
      </c>
      <c r="G1000" s="1" t="s">
        <v>3052</v>
      </c>
      <c r="H1000" s="3" t="str">
        <f t="shared" si="5"/>
        <v>HOME &amp; KITCHEN</v>
      </c>
      <c r="I1000" s="3" t="str">
        <f t="shared" si="6"/>
        <v>MIXER GRAINDER</v>
      </c>
      <c r="J1000" s="3">
        <f t="shared" si="7"/>
        <v>3</v>
      </c>
      <c r="K1000" s="3">
        <f t="shared" si="8"/>
        <v>182</v>
      </c>
      <c r="L1000" s="4">
        <f t="shared" si="9"/>
        <v>0</v>
      </c>
      <c r="M1000" s="3">
        <f t="shared" si="10"/>
        <v>546</v>
      </c>
      <c r="N1000" s="3">
        <f t="shared" si="11"/>
        <v>382</v>
      </c>
      <c r="O1000" s="3">
        <f t="shared" si="12"/>
        <v>164</v>
      </c>
      <c r="P1000" s="3" t="str">
        <f t="shared" si="13"/>
        <v>NET BANKING</v>
      </c>
      <c r="Q1000" s="3" t="str">
        <f t="shared" si="14"/>
        <v>CANCELLED</v>
      </c>
    </row>
  </sheetData>
  <customSheetViews>
    <customSheetView guid="{5F2890D0-2E92-4EB2-8673-66332E15558A}" filter="1" showAutoFilter="1">
      <autoFilter ref="$A$1:$Q$1000"/>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ht="38.25" customHeight="1">
      <c r="A1" s="5" t="s">
        <v>2757</v>
      </c>
      <c r="O1" s="5" t="s">
        <v>2757</v>
      </c>
    </row>
    <row r="4">
      <c r="E4" s="6"/>
    </row>
  </sheetData>
  <mergeCells count="2">
    <mergeCell ref="A1:N1"/>
    <mergeCell ref="O1:Z1"/>
  </mergeCells>
  <drawing r:id="rId1"/>
  <extLst>
    <ext uri="{3A4CF648-6AED-40f4-86FF-DC5316D8AED3}">
      <x14:slicerList>
        <x14:slicer r:id="rId2"/>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